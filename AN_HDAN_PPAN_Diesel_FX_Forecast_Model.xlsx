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/>
  <mc:AlternateContent xmlns:mc="http://schemas.openxmlformats.org/markup-compatibility/2006">
    <mc:Choice Requires="x15">
      <x15ac:absPath xmlns:x15ac="http://schemas.microsoft.com/office/spreadsheetml/2010/11/ac" url="/Users/dlgvnbyr/Desktop/Prediction Dashboard/"/>
    </mc:Choice>
  </mc:AlternateContent>
  <xr:revisionPtr revIDLastSave="0" documentId="13_ncr:1_{75DF6EC8-923E-C140-8B6F-F92FE48ADD5C}" xr6:coauthVersionLast="47" xr6:coauthVersionMax="47" xr10:uidLastSave="{00000000-0000-0000-0000-000000000000}"/>
  <bookViews>
    <workbookView xWindow="0" yWindow="680" windowWidth="30240" windowHeight="18960" activeTab="4" xr2:uid="{00000000-000D-0000-FFFF-FFFF00000000}"/>
  </bookViews>
  <sheets>
    <sheet name="Input" sheetId="1" r:id="rId1"/>
    <sheet name="PctChange" sheetId="2" r:id="rId2"/>
    <sheet name="Regression" sheetId="3" r:id="rId3"/>
    <sheet name="Forecast" sheetId="4" r:id="rId4"/>
    <sheet name="Dashboar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6" i="5" l="1"/>
  <c r="B6" i="5"/>
  <c r="E5" i="5"/>
  <c r="B5" i="5"/>
  <c r="E4" i="5"/>
  <c r="B4" i="5"/>
  <c r="E3" i="5"/>
  <c r="B3" i="5"/>
  <c r="E2" i="5"/>
  <c r="B2" i="5"/>
  <c r="B5" i="4"/>
  <c r="B4" i="4"/>
  <c r="B3" i="4"/>
  <c r="B2" i="4"/>
  <c r="K51" i="3"/>
  <c r="J51" i="3"/>
  <c r="K47" i="3"/>
  <c r="K46" i="3"/>
  <c r="J46" i="3"/>
  <c r="K45" i="3"/>
  <c r="K40" i="3"/>
  <c r="J40" i="3"/>
  <c r="K36" i="3"/>
  <c r="K35" i="3"/>
  <c r="J35" i="3"/>
  <c r="K34" i="3"/>
  <c r="K29" i="3"/>
  <c r="J29" i="3"/>
  <c r="K25" i="3"/>
  <c r="K24" i="3"/>
  <c r="J24" i="3"/>
  <c r="K23" i="3"/>
  <c r="K18" i="3"/>
  <c r="J18" i="3"/>
  <c r="K14" i="3"/>
  <c r="K13" i="3"/>
  <c r="J13" i="3"/>
  <c r="K12" i="3"/>
  <c r="K79" i="2"/>
  <c r="J79" i="2"/>
  <c r="I79" i="2"/>
  <c r="H79" i="2"/>
  <c r="G79" i="2"/>
  <c r="F79" i="2"/>
  <c r="E79" i="2"/>
  <c r="D79" i="2"/>
  <c r="C79" i="2"/>
  <c r="B79" i="2"/>
  <c r="A79" i="2"/>
  <c r="K78" i="2"/>
  <c r="J78" i="2"/>
  <c r="I78" i="2"/>
  <c r="H78" i="2"/>
  <c r="G78" i="2"/>
  <c r="F78" i="2"/>
  <c r="E78" i="2"/>
  <c r="D78" i="2"/>
  <c r="C78" i="2"/>
  <c r="K55" i="3" s="1"/>
  <c r="B78" i="2"/>
  <c r="J55" i="3" s="1"/>
  <c r="A78" i="2"/>
  <c r="K77" i="2"/>
  <c r="J77" i="2"/>
  <c r="I77" i="2"/>
  <c r="H77" i="2"/>
  <c r="G77" i="2"/>
  <c r="F77" i="2"/>
  <c r="E77" i="2"/>
  <c r="D77" i="2"/>
  <c r="C77" i="2"/>
  <c r="K54" i="3" s="1"/>
  <c r="B77" i="2"/>
  <c r="J54" i="3" s="1"/>
  <c r="A77" i="2"/>
  <c r="K76" i="2"/>
  <c r="J76" i="2"/>
  <c r="I76" i="2"/>
  <c r="H76" i="2"/>
  <c r="G76" i="2"/>
  <c r="F76" i="2"/>
  <c r="E76" i="2"/>
  <c r="D76" i="2"/>
  <c r="C76" i="2"/>
  <c r="K53" i="3" s="1"/>
  <c r="B76" i="2"/>
  <c r="J53" i="3" s="1"/>
  <c r="A76" i="2"/>
  <c r="K75" i="2"/>
  <c r="J75" i="2"/>
  <c r="I75" i="2"/>
  <c r="H75" i="2"/>
  <c r="G75" i="2"/>
  <c r="F75" i="2"/>
  <c r="E75" i="2"/>
  <c r="D75" i="2"/>
  <c r="C75" i="2"/>
  <c r="K52" i="3" s="1"/>
  <c r="B75" i="2"/>
  <c r="J52" i="3" s="1"/>
  <c r="A75" i="2"/>
  <c r="K74" i="2"/>
  <c r="J74" i="2"/>
  <c r="I74" i="2"/>
  <c r="H74" i="2"/>
  <c r="G74" i="2"/>
  <c r="F74" i="2"/>
  <c r="E74" i="2"/>
  <c r="D74" i="2"/>
  <c r="C74" i="2"/>
  <c r="B74" i="2"/>
  <c r="A74" i="2"/>
  <c r="K73" i="2"/>
  <c r="J73" i="2"/>
  <c r="I73" i="2"/>
  <c r="H73" i="2"/>
  <c r="G73" i="2"/>
  <c r="F73" i="2"/>
  <c r="E73" i="2"/>
  <c r="D73" i="2"/>
  <c r="C73" i="2"/>
  <c r="K50" i="3" s="1"/>
  <c r="B73" i="2"/>
  <c r="J50" i="3" s="1"/>
  <c r="A73" i="2"/>
  <c r="K72" i="2"/>
  <c r="J72" i="2"/>
  <c r="I72" i="2"/>
  <c r="H72" i="2"/>
  <c r="G72" i="2"/>
  <c r="F72" i="2"/>
  <c r="E72" i="2"/>
  <c r="D72" i="2"/>
  <c r="C72" i="2"/>
  <c r="K49" i="3" s="1"/>
  <c r="B72" i="2"/>
  <c r="J49" i="3" s="1"/>
  <c r="A72" i="2"/>
  <c r="K71" i="2"/>
  <c r="J71" i="2"/>
  <c r="I71" i="2"/>
  <c r="H71" i="2"/>
  <c r="G71" i="2"/>
  <c r="F71" i="2"/>
  <c r="E71" i="2"/>
  <c r="D71" i="2"/>
  <c r="C71" i="2"/>
  <c r="K48" i="3" s="1"/>
  <c r="B71" i="2"/>
  <c r="J48" i="3" s="1"/>
  <c r="A71" i="2"/>
  <c r="K70" i="2"/>
  <c r="J70" i="2"/>
  <c r="I70" i="2"/>
  <c r="H70" i="2"/>
  <c r="G70" i="2"/>
  <c r="F70" i="2"/>
  <c r="E70" i="2"/>
  <c r="D70" i="2"/>
  <c r="C70" i="2"/>
  <c r="B70" i="2"/>
  <c r="J47" i="3" s="1"/>
  <c r="A70" i="2"/>
  <c r="K69" i="2"/>
  <c r="J69" i="2"/>
  <c r="I69" i="2"/>
  <c r="H69" i="2"/>
  <c r="G69" i="2"/>
  <c r="F69" i="2"/>
  <c r="E69" i="2"/>
  <c r="D69" i="2"/>
  <c r="C69" i="2"/>
  <c r="B69" i="2"/>
  <c r="A69" i="2"/>
  <c r="K68" i="2"/>
  <c r="J68" i="2"/>
  <c r="I68" i="2"/>
  <c r="H68" i="2"/>
  <c r="G68" i="2"/>
  <c r="F68" i="2"/>
  <c r="E68" i="2"/>
  <c r="D68" i="2"/>
  <c r="C68" i="2"/>
  <c r="B68" i="2"/>
  <c r="J45" i="3" s="1"/>
  <c r="A68" i="2"/>
  <c r="K67" i="2"/>
  <c r="J67" i="2"/>
  <c r="I67" i="2"/>
  <c r="H67" i="2"/>
  <c r="G67" i="2"/>
  <c r="F67" i="2"/>
  <c r="E67" i="2"/>
  <c r="D67" i="2"/>
  <c r="C67" i="2"/>
  <c r="K44" i="3" s="1"/>
  <c r="B67" i="2"/>
  <c r="J44" i="3" s="1"/>
  <c r="A67" i="2"/>
  <c r="K66" i="2"/>
  <c r="J66" i="2"/>
  <c r="I66" i="2"/>
  <c r="H66" i="2"/>
  <c r="G66" i="2"/>
  <c r="F66" i="2"/>
  <c r="E66" i="2"/>
  <c r="D66" i="2"/>
  <c r="C66" i="2"/>
  <c r="K43" i="3" s="1"/>
  <c r="B66" i="2"/>
  <c r="J43" i="3" s="1"/>
  <c r="A66" i="2"/>
  <c r="K65" i="2"/>
  <c r="J65" i="2"/>
  <c r="I65" i="2"/>
  <c r="H65" i="2"/>
  <c r="G65" i="2"/>
  <c r="F65" i="2"/>
  <c r="E65" i="2"/>
  <c r="D65" i="2"/>
  <c r="C65" i="2"/>
  <c r="K42" i="3" s="1"/>
  <c r="B65" i="2"/>
  <c r="J42" i="3" s="1"/>
  <c r="A65" i="2"/>
  <c r="K64" i="2"/>
  <c r="J64" i="2"/>
  <c r="I64" i="2"/>
  <c r="H64" i="2"/>
  <c r="G64" i="2"/>
  <c r="F64" i="2"/>
  <c r="E64" i="2"/>
  <c r="D64" i="2"/>
  <c r="C64" i="2"/>
  <c r="K41" i="3" s="1"/>
  <c r="B64" i="2"/>
  <c r="J41" i="3" s="1"/>
  <c r="A64" i="2"/>
  <c r="K63" i="2"/>
  <c r="J63" i="2"/>
  <c r="I63" i="2"/>
  <c r="H63" i="2"/>
  <c r="G63" i="2"/>
  <c r="F63" i="2"/>
  <c r="E63" i="2"/>
  <c r="D63" i="2"/>
  <c r="C63" i="2"/>
  <c r="B63" i="2"/>
  <c r="A63" i="2"/>
  <c r="K62" i="2"/>
  <c r="J62" i="2"/>
  <c r="I62" i="2"/>
  <c r="H62" i="2"/>
  <c r="G62" i="2"/>
  <c r="F62" i="2"/>
  <c r="E62" i="2"/>
  <c r="D62" i="2"/>
  <c r="C62" i="2"/>
  <c r="K39" i="3" s="1"/>
  <c r="B62" i="2"/>
  <c r="J39" i="3" s="1"/>
  <c r="A62" i="2"/>
  <c r="K61" i="2"/>
  <c r="J61" i="2"/>
  <c r="I61" i="2"/>
  <c r="H61" i="2"/>
  <c r="G61" i="2"/>
  <c r="F61" i="2"/>
  <c r="E61" i="2"/>
  <c r="D61" i="2"/>
  <c r="C61" i="2"/>
  <c r="K38" i="3" s="1"/>
  <c r="B61" i="2"/>
  <c r="J38" i="3" s="1"/>
  <c r="A61" i="2"/>
  <c r="K60" i="2"/>
  <c r="J60" i="2"/>
  <c r="I60" i="2"/>
  <c r="H60" i="2"/>
  <c r="G60" i="2"/>
  <c r="F60" i="2"/>
  <c r="E60" i="2"/>
  <c r="D60" i="2"/>
  <c r="C60" i="2"/>
  <c r="K37" i="3" s="1"/>
  <c r="B60" i="2"/>
  <c r="J37" i="3" s="1"/>
  <c r="A60" i="2"/>
  <c r="K59" i="2"/>
  <c r="J59" i="2"/>
  <c r="I59" i="2"/>
  <c r="H59" i="2"/>
  <c r="G59" i="2"/>
  <c r="F59" i="2"/>
  <c r="E59" i="2"/>
  <c r="D59" i="2"/>
  <c r="C59" i="2"/>
  <c r="B59" i="2"/>
  <c r="J36" i="3" s="1"/>
  <c r="A59" i="2"/>
  <c r="K58" i="2"/>
  <c r="J58" i="2"/>
  <c r="I58" i="2"/>
  <c r="H58" i="2"/>
  <c r="G58" i="2"/>
  <c r="F58" i="2"/>
  <c r="E58" i="2"/>
  <c r="D58" i="2"/>
  <c r="C58" i="2"/>
  <c r="B58" i="2"/>
  <c r="A58" i="2"/>
  <c r="K57" i="2"/>
  <c r="J57" i="2"/>
  <c r="I57" i="2"/>
  <c r="H57" i="2"/>
  <c r="G57" i="2"/>
  <c r="F57" i="2"/>
  <c r="E57" i="2"/>
  <c r="D57" i="2"/>
  <c r="C57" i="2"/>
  <c r="B57" i="2"/>
  <c r="J34" i="3" s="1"/>
  <c r="A57" i="2"/>
  <c r="K56" i="2"/>
  <c r="J56" i="2"/>
  <c r="I56" i="2"/>
  <c r="H56" i="2"/>
  <c r="G56" i="2"/>
  <c r="F56" i="2"/>
  <c r="E56" i="2"/>
  <c r="D56" i="2"/>
  <c r="C56" i="2"/>
  <c r="K33" i="3" s="1"/>
  <c r="B56" i="2"/>
  <c r="J33" i="3" s="1"/>
  <c r="A56" i="2"/>
  <c r="K55" i="2"/>
  <c r="J55" i="2"/>
  <c r="I55" i="2"/>
  <c r="H55" i="2"/>
  <c r="G55" i="2"/>
  <c r="F55" i="2"/>
  <c r="E55" i="2"/>
  <c r="D55" i="2"/>
  <c r="C55" i="2"/>
  <c r="K32" i="3" s="1"/>
  <c r="B55" i="2"/>
  <c r="J32" i="3" s="1"/>
  <c r="A55" i="2"/>
  <c r="K54" i="2"/>
  <c r="J54" i="2"/>
  <c r="I54" i="2"/>
  <c r="H54" i="2"/>
  <c r="G54" i="2"/>
  <c r="F54" i="2"/>
  <c r="E54" i="2"/>
  <c r="D54" i="2"/>
  <c r="C54" i="2"/>
  <c r="K31" i="3" s="1"/>
  <c r="B54" i="2"/>
  <c r="J31" i="3" s="1"/>
  <c r="A54" i="2"/>
  <c r="K53" i="2"/>
  <c r="J53" i="2"/>
  <c r="I53" i="2"/>
  <c r="H53" i="2"/>
  <c r="G53" i="2"/>
  <c r="F53" i="2"/>
  <c r="E53" i="2"/>
  <c r="D53" i="2"/>
  <c r="C53" i="2"/>
  <c r="K30" i="3" s="1"/>
  <c r="B53" i="2"/>
  <c r="J30" i="3" s="1"/>
  <c r="A53" i="2"/>
  <c r="K52" i="2"/>
  <c r="J52" i="2"/>
  <c r="I52" i="2"/>
  <c r="H52" i="2"/>
  <c r="G52" i="2"/>
  <c r="F52" i="2"/>
  <c r="E52" i="2"/>
  <c r="D52" i="2"/>
  <c r="C52" i="2"/>
  <c r="B52" i="2"/>
  <c r="A52" i="2"/>
  <c r="K51" i="2"/>
  <c r="J51" i="2"/>
  <c r="I51" i="2"/>
  <c r="H51" i="2"/>
  <c r="G51" i="2"/>
  <c r="F51" i="2"/>
  <c r="E51" i="2"/>
  <c r="D51" i="2"/>
  <c r="C51" i="2"/>
  <c r="K28" i="3" s="1"/>
  <c r="B51" i="2"/>
  <c r="J28" i="3" s="1"/>
  <c r="A51" i="2"/>
  <c r="K50" i="2"/>
  <c r="J50" i="2"/>
  <c r="I50" i="2"/>
  <c r="H50" i="2"/>
  <c r="G50" i="2"/>
  <c r="F50" i="2"/>
  <c r="E50" i="2"/>
  <c r="D50" i="2"/>
  <c r="C50" i="2"/>
  <c r="K27" i="3" s="1"/>
  <c r="B50" i="2"/>
  <c r="J27" i="3" s="1"/>
  <c r="A50" i="2"/>
  <c r="K49" i="2"/>
  <c r="J49" i="2"/>
  <c r="I49" i="2"/>
  <c r="H49" i="2"/>
  <c r="G49" i="2"/>
  <c r="F49" i="2"/>
  <c r="E49" i="2"/>
  <c r="D49" i="2"/>
  <c r="C49" i="2"/>
  <c r="K26" i="3" s="1"/>
  <c r="B49" i="2"/>
  <c r="J26" i="3" s="1"/>
  <c r="A49" i="2"/>
  <c r="K48" i="2"/>
  <c r="J48" i="2"/>
  <c r="I48" i="2"/>
  <c r="H48" i="2"/>
  <c r="G48" i="2"/>
  <c r="F48" i="2"/>
  <c r="E48" i="2"/>
  <c r="D48" i="2"/>
  <c r="C48" i="2"/>
  <c r="B48" i="2"/>
  <c r="J25" i="3" s="1"/>
  <c r="A48" i="2"/>
  <c r="K47" i="2"/>
  <c r="J47" i="2"/>
  <c r="I47" i="2"/>
  <c r="H47" i="2"/>
  <c r="G47" i="2"/>
  <c r="F47" i="2"/>
  <c r="E47" i="2"/>
  <c r="D47" i="2"/>
  <c r="C47" i="2"/>
  <c r="B47" i="2"/>
  <c r="A47" i="2"/>
  <c r="K46" i="2"/>
  <c r="J46" i="2"/>
  <c r="I46" i="2"/>
  <c r="H46" i="2"/>
  <c r="G46" i="2"/>
  <c r="F46" i="2"/>
  <c r="E46" i="2"/>
  <c r="D46" i="2"/>
  <c r="C46" i="2"/>
  <c r="B46" i="2"/>
  <c r="J23" i="3" s="1"/>
  <c r="A46" i="2"/>
  <c r="K45" i="2"/>
  <c r="J45" i="2"/>
  <c r="I45" i="2"/>
  <c r="H45" i="2"/>
  <c r="G45" i="2"/>
  <c r="F45" i="2"/>
  <c r="E45" i="2"/>
  <c r="D45" i="2"/>
  <c r="C45" i="2"/>
  <c r="K22" i="3" s="1"/>
  <c r="B45" i="2"/>
  <c r="J22" i="3" s="1"/>
  <c r="A45" i="2"/>
  <c r="K44" i="2"/>
  <c r="J44" i="2"/>
  <c r="I44" i="2"/>
  <c r="H44" i="2"/>
  <c r="G44" i="2"/>
  <c r="F44" i="2"/>
  <c r="E44" i="2"/>
  <c r="D44" i="2"/>
  <c r="C44" i="2"/>
  <c r="K21" i="3" s="1"/>
  <c r="B44" i="2"/>
  <c r="J21" i="3" s="1"/>
  <c r="A44" i="2"/>
  <c r="K43" i="2"/>
  <c r="J43" i="2"/>
  <c r="I43" i="2"/>
  <c r="H43" i="2"/>
  <c r="G43" i="2"/>
  <c r="F43" i="2"/>
  <c r="E43" i="2"/>
  <c r="D43" i="2"/>
  <c r="C43" i="2"/>
  <c r="K20" i="3" s="1"/>
  <c r="B43" i="2"/>
  <c r="J20" i="3" s="1"/>
  <c r="A43" i="2"/>
  <c r="K42" i="2"/>
  <c r="J42" i="2"/>
  <c r="I42" i="2"/>
  <c r="H42" i="2"/>
  <c r="G42" i="2"/>
  <c r="F42" i="2"/>
  <c r="E42" i="2"/>
  <c r="D42" i="2"/>
  <c r="C42" i="2"/>
  <c r="K19" i="3" s="1"/>
  <c r="B42" i="2"/>
  <c r="J19" i="3" s="1"/>
  <c r="A42" i="2"/>
  <c r="K41" i="2"/>
  <c r="J41" i="2"/>
  <c r="I41" i="2"/>
  <c r="H41" i="2"/>
  <c r="G41" i="2"/>
  <c r="F41" i="2"/>
  <c r="E41" i="2"/>
  <c r="D41" i="2"/>
  <c r="C41" i="2"/>
  <c r="B41" i="2"/>
  <c r="A41" i="2"/>
  <c r="K40" i="2"/>
  <c r="J40" i="2"/>
  <c r="I40" i="2"/>
  <c r="H40" i="2"/>
  <c r="G40" i="2"/>
  <c r="F40" i="2"/>
  <c r="E40" i="2"/>
  <c r="D40" i="2"/>
  <c r="C40" i="2"/>
  <c r="K17" i="3" s="1"/>
  <c r="B40" i="2"/>
  <c r="J17" i="3" s="1"/>
  <c r="A40" i="2"/>
  <c r="K39" i="2"/>
  <c r="J39" i="2"/>
  <c r="I39" i="2"/>
  <c r="H39" i="2"/>
  <c r="G39" i="2"/>
  <c r="F39" i="2"/>
  <c r="E39" i="2"/>
  <c r="D39" i="2"/>
  <c r="C39" i="2"/>
  <c r="K16" i="3" s="1"/>
  <c r="B39" i="2"/>
  <c r="J16" i="3" s="1"/>
  <c r="A39" i="2"/>
  <c r="K38" i="2"/>
  <c r="J38" i="2"/>
  <c r="I38" i="2"/>
  <c r="H38" i="2"/>
  <c r="G38" i="2"/>
  <c r="F38" i="2"/>
  <c r="E38" i="2"/>
  <c r="D38" i="2"/>
  <c r="C38" i="2"/>
  <c r="K15" i="3" s="1"/>
  <c r="B38" i="2"/>
  <c r="J15" i="3" s="1"/>
  <c r="A38" i="2"/>
  <c r="K37" i="2"/>
  <c r="J37" i="2"/>
  <c r="I37" i="2"/>
  <c r="H37" i="2"/>
  <c r="G37" i="2"/>
  <c r="F37" i="2"/>
  <c r="E37" i="2"/>
  <c r="D37" i="2"/>
  <c r="C37" i="2"/>
  <c r="B37" i="2"/>
  <c r="J14" i="3" s="1"/>
  <c r="A37" i="2"/>
  <c r="K36" i="2"/>
  <c r="J36" i="2"/>
  <c r="I36" i="2"/>
  <c r="H36" i="2"/>
  <c r="G36" i="2"/>
  <c r="F36" i="2"/>
  <c r="E36" i="2"/>
  <c r="D36" i="2"/>
  <c r="C36" i="2"/>
  <c r="B36" i="2"/>
  <c r="A36" i="2"/>
  <c r="K35" i="2"/>
  <c r="J35" i="2"/>
  <c r="I35" i="2"/>
  <c r="H35" i="2"/>
  <c r="G35" i="2"/>
  <c r="F35" i="2"/>
  <c r="E35" i="2"/>
  <c r="D35" i="2"/>
  <c r="C35" i="2"/>
  <c r="B35" i="2"/>
  <c r="J12" i="3" s="1"/>
  <c r="A35" i="2"/>
  <c r="K34" i="2"/>
  <c r="J34" i="2"/>
  <c r="I34" i="2"/>
  <c r="H34" i="2"/>
  <c r="G34" i="2"/>
  <c r="F34" i="2"/>
  <c r="E34" i="2"/>
  <c r="D34" i="2"/>
  <c r="C34" i="2"/>
  <c r="K11" i="3" s="1"/>
  <c r="B34" i="2"/>
  <c r="J11" i="3" s="1"/>
  <c r="A34" i="2"/>
  <c r="K33" i="2"/>
  <c r="J33" i="2"/>
  <c r="I33" i="2"/>
  <c r="H33" i="2"/>
  <c r="D3" i="3" s="1" a="1"/>
  <c r="G33" i="2"/>
  <c r="F33" i="2"/>
  <c r="E33" i="2"/>
  <c r="D33" i="2"/>
  <c r="C33" i="2"/>
  <c r="K10" i="3" s="1"/>
  <c r="B33" i="2"/>
  <c r="J10" i="3" s="1"/>
  <c r="A33" i="2"/>
  <c r="K32" i="2"/>
  <c r="J32" i="2"/>
  <c r="I32" i="2"/>
  <c r="H32" i="2"/>
  <c r="G32" i="2"/>
  <c r="F32" i="2"/>
  <c r="E32" i="2"/>
  <c r="D32" i="2"/>
  <c r="C32" i="2"/>
  <c r="B32" i="2"/>
  <c r="A32" i="2"/>
  <c r="K31" i="2"/>
  <c r="J31" i="2"/>
  <c r="I31" i="2"/>
  <c r="H31" i="2"/>
  <c r="G31" i="2"/>
  <c r="F31" i="2"/>
  <c r="E31" i="2"/>
  <c r="D31" i="2"/>
  <c r="C31" i="2"/>
  <c r="B31" i="2"/>
  <c r="A31" i="2"/>
  <c r="K30" i="2"/>
  <c r="J30" i="2"/>
  <c r="I30" i="2"/>
  <c r="H30" i="2"/>
  <c r="G30" i="2"/>
  <c r="F30" i="2"/>
  <c r="E30" i="2"/>
  <c r="D30" i="2"/>
  <c r="C30" i="2"/>
  <c r="B30" i="2"/>
  <c r="A30" i="2"/>
  <c r="K29" i="2"/>
  <c r="J29" i="2"/>
  <c r="I29" i="2"/>
  <c r="H29" i="2"/>
  <c r="G29" i="2"/>
  <c r="F29" i="2"/>
  <c r="E29" i="2"/>
  <c r="D29" i="2"/>
  <c r="C29" i="2"/>
  <c r="B29" i="2"/>
  <c r="A29" i="2"/>
  <c r="K28" i="2"/>
  <c r="J28" i="2"/>
  <c r="I28" i="2"/>
  <c r="H28" i="2"/>
  <c r="G28" i="2"/>
  <c r="F28" i="2"/>
  <c r="E28" i="2"/>
  <c r="D28" i="2"/>
  <c r="C28" i="2"/>
  <c r="B28" i="2"/>
  <c r="A28" i="2"/>
  <c r="K27" i="2"/>
  <c r="J27" i="2"/>
  <c r="I27" i="2"/>
  <c r="H27" i="2"/>
  <c r="G27" i="2"/>
  <c r="F27" i="2"/>
  <c r="E27" i="2"/>
  <c r="D27" i="2"/>
  <c r="C27" i="2"/>
  <c r="B27" i="2"/>
  <c r="A27" i="2"/>
  <c r="K26" i="2"/>
  <c r="J26" i="2"/>
  <c r="I26" i="2"/>
  <c r="H26" i="2"/>
  <c r="G26" i="2"/>
  <c r="F26" i="2"/>
  <c r="E26" i="2"/>
  <c r="D26" i="2"/>
  <c r="C26" i="2"/>
  <c r="B26" i="2"/>
  <c r="A26" i="2"/>
  <c r="K25" i="2"/>
  <c r="J25" i="2"/>
  <c r="I25" i="2"/>
  <c r="H25" i="2"/>
  <c r="G25" i="2"/>
  <c r="F25" i="2"/>
  <c r="E25" i="2"/>
  <c r="D25" i="2"/>
  <c r="C25" i="2"/>
  <c r="B25" i="2"/>
  <c r="A25" i="2"/>
  <c r="K24" i="2"/>
  <c r="J24" i="2"/>
  <c r="I24" i="2"/>
  <c r="H24" i="2"/>
  <c r="G24" i="2"/>
  <c r="F24" i="2"/>
  <c r="E24" i="2"/>
  <c r="D24" i="2"/>
  <c r="C24" i="2"/>
  <c r="B24" i="2"/>
  <c r="A24" i="2"/>
  <c r="K23" i="2"/>
  <c r="J23" i="2"/>
  <c r="I23" i="2"/>
  <c r="H23" i="2"/>
  <c r="G23" i="2"/>
  <c r="F23" i="2"/>
  <c r="E23" i="2"/>
  <c r="D23" i="2"/>
  <c r="C23" i="2"/>
  <c r="B23" i="2"/>
  <c r="A23" i="2"/>
  <c r="K22" i="2"/>
  <c r="J22" i="2"/>
  <c r="I22" i="2"/>
  <c r="H22" i="2"/>
  <c r="G22" i="2"/>
  <c r="F22" i="2"/>
  <c r="E22" i="2"/>
  <c r="D22" i="2"/>
  <c r="C22" i="2"/>
  <c r="B22" i="2"/>
  <c r="A22" i="2"/>
  <c r="K21" i="2"/>
  <c r="J21" i="2"/>
  <c r="I21" i="2"/>
  <c r="H21" i="2"/>
  <c r="G21" i="2"/>
  <c r="F21" i="2"/>
  <c r="E21" i="2"/>
  <c r="D21" i="2"/>
  <c r="C21" i="2"/>
  <c r="B21" i="2"/>
  <c r="A21" i="2"/>
  <c r="K20" i="2"/>
  <c r="J20" i="2"/>
  <c r="I20" i="2"/>
  <c r="H20" i="2"/>
  <c r="G20" i="2"/>
  <c r="F20" i="2"/>
  <c r="E20" i="2"/>
  <c r="D20" i="2"/>
  <c r="C20" i="2"/>
  <c r="B20" i="2"/>
  <c r="A20" i="2"/>
  <c r="K19" i="2"/>
  <c r="J19" i="2"/>
  <c r="I19" i="2"/>
  <c r="H19" i="2"/>
  <c r="G19" i="2"/>
  <c r="F19" i="2"/>
  <c r="E19" i="2"/>
  <c r="D19" i="2"/>
  <c r="C19" i="2"/>
  <c r="B19" i="2"/>
  <c r="A19" i="2"/>
  <c r="K18" i="2"/>
  <c r="J18" i="2"/>
  <c r="I18" i="2"/>
  <c r="H18" i="2"/>
  <c r="G18" i="2"/>
  <c r="F18" i="2"/>
  <c r="E18" i="2"/>
  <c r="D18" i="2"/>
  <c r="C18" i="2"/>
  <c r="B18" i="2"/>
  <c r="A18" i="2"/>
  <c r="K17" i="2"/>
  <c r="J17" i="2"/>
  <c r="I17" i="2"/>
  <c r="H17" i="2"/>
  <c r="G17" i="2"/>
  <c r="F17" i="2"/>
  <c r="E17" i="2"/>
  <c r="D17" i="2"/>
  <c r="C17" i="2"/>
  <c r="B17" i="2"/>
  <c r="A17" i="2"/>
  <c r="K16" i="2"/>
  <c r="J16" i="2"/>
  <c r="I16" i="2"/>
  <c r="H16" i="2"/>
  <c r="G16" i="2"/>
  <c r="F16" i="2"/>
  <c r="E16" i="2"/>
  <c r="D16" i="2"/>
  <c r="C16" i="2"/>
  <c r="B16" i="2"/>
  <c r="A16" i="2"/>
  <c r="K15" i="2"/>
  <c r="J15" i="2"/>
  <c r="I15" i="2"/>
  <c r="H15" i="2"/>
  <c r="G15" i="2"/>
  <c r="F15" i="2"/>
  <c r="E15" i="2"/>
  <c r="D15" i="2"/>
  <c r="C15" i="2"/>
  <c r="B15" i="2"/>
  <c r="A15" i="2"/>
  <c r="K14" i="2"/>
  <c r="J14" i="2"/>
  <c r="I14" i="2"/>
  <c r="H14" i="2"/>
  <c r="G14" i="2"/>
  <c r="F14" i="2"/>
  <c r="E14" i="2"/>
  <c r="D14" i="2"/>
  <c r="C14" i="2"/>
  <c r="B14" i="2"/>
  <c r="A14" i="2"/>
  <c r="K13" i="2"/>
  <c r="J13" i="2"/>
  <c r="I13" i="2"/>
  <c r="H13" i="2"/>
  <c r="G13" i="2"/>
  <c r="F13" i="2"/>
  <c r="E13" i="2"/>
  <c r="D13" i="2"/>
  <c r="C13" i="2"/>
  <c r="B13" i="2"/>
  <c r="A13" i="2"/>
  <c r="K12" i="2"/>
  <c r="J12" i="2"/>
  <c r="I12" i="2"/>
  <c r="H12" i="2"/>
  <c r="G12" i="2"/>
  <c r="F12" i="2"/>
  <c r="E12" i="2"/>
  <c r="D12" i="2"/>
  <c r="C12" i="2"/>
  <c r="B12" i="2"/>
  <c r="A12" i="2"/>
  <c r="K11" i="2"/>
  <c r="J11" i="2"/>
  <c r="I11" i="2"/>
  <c r="H11" i="2"/>
  <c r="G11" i="2"/>
  <c r="F11" i="2"/>
  <c r="E11" i="2"/>
  <c r="D11" i="2"/>
  <c r="C11" i="2"/>
  <c r="B11" i="2"/>
  <c r="A11" i="2"/>
  <c r="K10" i="2"/>
  <c r="J10" i="2"/>
  <c r="I10" i="2"/>
  <c r="H10" i="2"/>
  <c r="G10" i="2"/>
  <c r="F10" i="2"/>
  <c r="E10" i="2"/>
  <c r="D10" i="2"/>
  <c r="C10" i="2"/>
  <c r="B10" i="2"/>
  <c r="A10" i="2"/>
  <c r="K9" i="2"/>
  <c r="J9" i="2"/>
  <c r="I9" i="2"/>
  <c r="H9" i="2"/>
  <c r="G9" i="2"/>
  <c r="F9" i="2"/>
  <c r="E9" i="2"/>
  <c r="D9" i="2"/>
  <c r="C9" i="2"/>
  <c r="B9" i="2"/>
  <c r="A9" i="2"/>
  <c r="K8" i="2"/>
  <c r="J8" i="2"/>
  <c r="I8" i="2"/>
  <c r="H8" i="2"/>
  <c r="G8" i="2"/>
  <c r="F8" i="2"/>
  <c r="E8" i="2"/>
  <c r="D8" i="2"/>
  <c r="C8" i="2"/>
  <c r="B8" i="2"/>
  <c r="A8" i="2"/>
  <c r="K7" i="2"/>
  <c r="J7" i="2"/>
  <c r="I7" i="2"/>
  <c r="H7" i="2"/>
  <c r="G7" i="2"/>
  <c r="F7" i="2"/>
  <c r="E7" i="2"/>
  <c r="D7" i="2"/>
  <c r="C7" i="2"/>
  <c r="B7" i="2"/>
  <c r="A7" i="2"/>
  <c r="K6" i="2"/>
  <c r="J6" i="2"/>
  <c r="I6" i="2"/>
  <c r="H6" i="2"/>
  <c r="G6" i="2"/>
  <c r="F6" i="2"/>
  <c r="E6" i="2"/>
  <c r="D6" i="2"/>
  <c r="C6" i="2"/>
  <c r="B6" i="2"/>
  <c r="A6" i="2"/>
  <c r="K5" i="2"/>
  <c r="J5" i="2"/>
  <c r="I5" i="2"/>
  <c r="H5" i="2"/>
  <c r="G5" i="2"/>
  <c r="F5" i="2"/>
  <c r="E5" i="2"/>
  <c r="D5" i="2"/>
  <c r="C5" i="2"/>
  <c r="B5" i="2"/>
  <c r="A5" i="2"/>
  <c r="K4" i="2"/>
  <c r="J4" i="2"/>
  <c r="I4" i="2"/>
  <c r="H4" i="2"/>
  <c r="G4" i="2"/>
  <c r="F4" i="2"/>
  <c r="E4" i="2"/>
  <c r="D4" i="2"/>
  <c r="C4" i="2"/>
  <c r="B4" i="2"/>
  <c r="A4" i="2"/>
  <c r="K3" i="2"/>
  <c r="D2" i="3" s="1" a="1"/>
  <c r="J3" i="2"/>
  <c r="I3" i="2"/>
  <c r="H3" i="2"/>
  <c r="G3" i="2"/>
  <c r="F3" i="2"/>
  <c r="E3" i="2"/>
  <c r="D3" i="2"/>
  <c r="C3" i="2"/>
  <c r="B3" i="2"/>
  <c r="A3" i="2"/>
  <c r="A2" i="2"/>
  <c r="D6" i="3" l="1" a="1"/>
  <c r="D5" i="3" a="1"/>
  <c r="E2" i="3"/>
  <c r="D2" i="3"/>
  <c r="C5" i="4" s="1"/>
  <c r="D5" i="4" s="1"/>
  <c r="C5" i="5" s="1"/>
  <c r="D5" i="5" s="1"/>
  <c r="E3" i="3"/>
  <c r="D3" i="3"/>
  <c r="C4" i="4" s="1"/>
  <c r="D4" i="4"/>
  <c r="D6" i="4" l="1"/>
  <c r="C6" i="5" s="1"/>
  <c r="D6" i="5" s="1"/>
  <c r="C4" i="5"/>
  <c r="D4" i="5" s="1"/>
  <c r="D5" i="3"/>
  <c r="F5" i="3"/>
  <c r="E5" i="3"/>
  <c r="F6" i="3"/>
  <c r="D6" i="3"/>
  <c r="E6" i="3"/>
  <c r="C3" i="4" l="1"/>
  <c r="D3" i="4" s="1"/>
  <c r="C3" i="5" s="1"/>
  <c r="D3" i="5" s="1"/>
  <c r="C2" i="4"/>
  <c r="D2" i="4" s="1"/>
  <c r="C2" i="5" s="1"/>
  <c r="D2" i="5" s="1"/>
</calcChain>
</file>

<file path=xl/sharedStrings.xml><?xml version="1.0" encoding="utf-8"?>
<sst xmlns="http://schemas.openxmlformats.org/spreadsheetml/2006/main" count="53" uniqueCount="35">
  <si>
    <t>Date</t>
  </si>
  <si>
    <t>HDAN</t>
  </si>
  <si>
    <t>PPAN</t>
  </si>
  <si>
    <t>Baltic_AN</t>
  </si>
  <si>
    <t>Ammonia</t>
  </si>
  <si>
    <t>Urea</t>
  </si>
  <si>
    <t>Natural_Gas</t>
  </si>
  <si>
    <t>Brent</t>
  </si>
  <si>
    <t>Diesel_USD_ton</t>
  </si>
  <si>
    <t>Urals</t>
  </si>
  <si>
    <t>FX_rate</t>
  </si>
  <si>
    <t>Markup_%</t>
  </si>
  <si>
    <t>Model</t>
  </si>
  <si>
    <t>coef1 (slope)</t>
  </si>
  <si>
    <t>coef2 (intercept)</t>
  </si>
  <si>
    <t>FX (AR1)</t>
  </si>
  <si>
    <t>Diesel-USD (Brent lag2)</t>
  </si>
  <si>
    <t>VAR: HDAN eq (a11, a12, c1)</t>
  </si>
  <si>
    <t>VAR: PPAN eq (a21, a22, c2)</t>
  </si>
  <si>
    <t>Series</t>
  </si>
  <si>
    <t>Last Actual</t>
  </si>
  <si>
    <t>Predicted % Change</t>
  </si>
  <si>
    <t>Forecast</t>
  </si>
  <si>
    <t>Diesel_MNT (purchasing price)</t>
  </si>
  <si>
    <t>—</t>
  </si>
  <si>
    <t>Product</t>
  </si>
  <si>
    <t>Current Value</t>
  </si>
  <si>
    <t>Next-Month Forecast</t>
  </si>
  <si>
    <t>95% Range (approx, ±MAPE)</t>
  </si>
  <si>
    <t>Backtest MAPE (static, from backend_research/REPORT.md)</t>
  </si>
  <si>
    <t>MAPE (decimal, static)</t>
  </si>
  <si>
    <t>Diesel-USD</t>
  </si>
  <si>
    <t>FX rate</t>
  </si>
  <si>
    <t>Diesel-MNT (purchasing price)</t>
  </si>
  <si>
    <t>MAPE values are static, from the 12-month holdout backtest in backend_research/REPORT.md — they do not recalculate as Input grows. The range is an approximate ±MAPE band, not a calibrated statistical interval; see backend_research/REPORT.md's interval-calibration section for why even a proper analytic interval under-covers its stated 95% target on this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</si>
</sst>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9"/>
  <sheetViews>
    <sheetView workbookViewId="0"/>
  </sheetViews>
  <sheetFormatPr baseColWidth="10" defaultColWidth="8.83203125" defaultRowHeight="15" x14ac:dyDescent="0.2"/>
  <cols>
    <col min="1" max="1" width="16.6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">
        <v>11</v>
      </c>
    </row>
    <row r="2" spans="1:13" x14ac:dyDescent="0.2">
      <c r="A2" s="1">
        <v>43862</v>
      </c>
      <c r="I2">
        <v>638.5</v>
      </c>
      <c r="J2">
        <v>48.86</v>
      </c>
      <c r="K2">
        <v>2756.95</v>
      </c>
      <c r="M2">
        <v>2.8199999999999999E-2</v>
      </c>
    </row>
    <row r="3" spans="1:13" x14ac:dyDescent="0.2">
      <c r="A3" s="1">
        <v>43891</v>
      </c>
      <c r="I3">
        <v>625.49</v>
      </c>
      <c r="J3">
        <v>15.11</v>
      </c>
      <c r="K3">
        <v>2768.95</v>
      </c>
    </row>
    <row r="4" spans="1:13" x14ac:dyDescent="0.2">
      <c r="A4" s="1">
        <v>43922</v>
      </c>
      <c r="I4">
        <v>575.33000000000004</v>
      </c>
      <c r="J4">
        <v>18.78</v>
      </c>
      <c r="K4">
        <v>2783.05</v>
      </c>
    </row>
    <row r="5" spans="1:13" x14ac:dyDescent="0.2">
      <c r="A5" s="1">
        <v>43952</v>
      </c>
      <c r="I5">
        <v>507.62</v>
      </c>
      <c r="J5">
        <v>35.46</v>
      </c>
      <c r="K5">
        <v>2797.15</v>
      </c>
    </row>
    <row r="6" spans="1:13" x14ac:dyDescent="0.2">
      <c r="A6" s="1">
        <v>43983</v>
      </c>
      <c r="I6">
        <v>446.81</v>
      </c>
      <c r="J6">
        <v>44.16</v>
      </c>
      <c r="K6">
        <v>2815.65</v>
      </c>
    </row>
    <row r="7" spans="1:13" x14ac:dyDescent="0.2">
      <c r="A7" s="1">
        <v>44013</v>
      </c>
      <c r="I7">
        <v>431.21</v>
      </c>
      <c r="J7">
        <v>43.57</v>
      </c>
      <c r="K7">
        <v>2835.32</v>
      </c>
    </row>
    <row r="8" spans="1:13" x14ac:dyDescent="0.2">
      <c r="A8" s="1">
        <v>44044</v>
      </c>
      <c r="I8">
        <v>425.64</v>
      </c>
      <c r="J8">
        <v>45.1</v>
      </c>
      <c r="K8">
        <v>2848.92</v>
      </c>
    </row>
    <row r="9" spans="1:13" x14ac:dyDescent="0.2">
      <c r="A9" s="1">
        <v>44075</v>
      </c>
      <c r="I9">
        <v>422.95</v>
      </c>
      <c r="J9">
        <v>40.49</v>
      </c>
      <c r="K9">
        <v>2854.13</v>
      </c>
    </row>
    <row r="10" spans="1:13" x14ac:dyDescent="0.2">
      <c r="A10" s="1">
        <v>44105</v>
      </c>
      <c r="I10">
        <v>422.05</v>
      </c>
      <c r="J10">
        <v>37.119999999999997</v>
      </c>
      <c r="K10">
        <v>2853.61</v>
      </c>
    </row>
    <row r="11" spans="1:13" x14ac:dyDescent="0.2">
      <c r="A11" s="1">
        <v>44136</v>
      </c>
      <c r="I11">
        <v>420.59</v>
      </c>
      <c r="J11">
        <v>46.92</v>
      </c>
      <c r="K11">
        <v>2849.96</v>
      </c>
    </row>
    <row r="12" spans="1:13" x14ac:dyDescent="0.2">
      <c r="A12" s="1">
        <v>44166</v>
      </c>
      <c r="I12">
        <v>421.11</v>
      </c>
      <c r="J12">
        <v>50.97</v>
      </c>
      <c r="K12">
        <v>2849.53</v>
      </c>
    </row>
    <row r="13" spans="1:13" x14ac:dyDescent="0.2">
      <c r="A13" s="1">
        <v>44197</v>
      </c>
      <c r="I13">
        <v>465.52</v>
      </c>
      <c r="J13">
        <v>55.81</v>
      </c>
      <c r="K13">
        <v>2849.83</v>
      </c>
    </row>
    <row r="14" spans="1:13" x14ac:dyDescent="0.2">
      <c r="A14" s="1">
        <v>44228</v>
      </c>
      <c r="I14">
        <v>479.92</v>
      </c>
      <c r="J14">
        <v>64.92</v>
      </c>
      <c r="K14">
        <v>2849.67</v>
      </c>
    </row>
    <row r="15" spans="1:13" x14ac:dyDescent="0.2">
      <c r="A15" s="1">
        <v>44256</v>
      </c>
      <c r="I15">
        <v>496.11</v>
      </c>
      <c r="J15">
        <v>61.63</v>
      </c>
      <c r="K15">
        <v>2849.62</v>
      </c>
    </row>
    <row r="16" spans="1:13" x14ac:dyDescent="0.2">
      <c r="A16" s="1">
        <v>44287</v>
      </c>
      <c r="I16">
        <v>507.29</v>
      </c>
      <c r="J16">
        <v>65.69</v>
      </c>
      <c r="K16">
        <v>2849.9</v>
      </c>
    </row>
    <row r="17" spans="1:11" x14ac:dyDescent="0.2">
      <c r="A17" s="1">
        <v>44317</v>
      </c>
      <c r="I17">
        <v>512.62</v>
      </c>
      <c r="J17">
        <v>67.739999999999995</v>
      </c>
      <c r="K17">
        <v>2849.54</v>
      </c>
    </row>
    <row r="18" spans="1:11" x14ac:dyDescent="0.2">
      <c r="A18" s="1">
        <v>44348</v>
      </c>
      <c r="I18">
        <v>522.08000000000004</v>
      </c>
      <c r="J18">
        <v>74.91</v>
      </c>
      <c r="K18">
        <v>2849.08</v>
      </c>
    </row>
    <row r="19" spans="1:11" x14ac:dyDescent="0.2">
      <c r="A19" s="1">
        <v>44378</v>
      </c>
      <c r="I19">
        <v>533.97</v>
      </c>
      <c r="J19">
        <v>73.97</v>
      </c>
      <c r="K19">
        <v>2848.94</v>
      </c>
    </row>
    <row r="20" spans="1:11" x14ac:dyDescent="0.2">
      <c r="A20" s="1">
        <v>44409</v>
      </c>
      <c r="I20">
        <v>544.33000000000004</v>
      </c>
      <c r="J20">
        <v>70.88</v>
      </c>
      <c r="K20">
        <v>2848.83</v>
      </c>
    </row>
    <row r="21" spans="1:11" x14ac:dyDescent="0.2">
      <c r="A21" s="1">
        <v>44440</v>
      </c>
      <c r="I21">
        <v>549.98</v>
      </c>
      <c r="J21">
        <v>75.86</v>
      </c>
      <c r="K21">
        <v>2848.86</v>
      </c>
    </row>
    <row r="22" spans="1:11" x14ac:dyDescent="0.2">
      <c r="A22" s="1">
        <v>44470</v>
      </c>
      <c r="I22">
        <v>559.75</v>
      </c>
      <c r="J22">
        <v>82.1</v>
      </c>
      <c r="K22">
        <v>2848.9</v>
      </c>
    </row>
    <row r="23" spans="1:11" x14ac:dyDescent="0.2">
      <c r="A23" s="1">
        <v>44501</v>
      </c>
      <c r="I23">
        <v>576.13</v>
      </c>
      <c r="J23">
        <v>69.34</v>
      </c>
      <c r="K23">
        <v>2848.99</v>
      </c>
    </row>
    <row r="24" spans="1:11" x14ac:dyDescent="0.2">
      <c r="A24" s="1">
        <v>44531</v>
      </c>
      <c r="I24">
        <v>596.71</v>
      </c>
      <c r="J24">
        <v>76.8</v>
      </c>
      <c r="K24">
        <v>2848.9</v>
      </c>
    </row>
    <row r="25" spans="1:11" x14ac:dyDescent="0.2">
      <c r="A25" s="1">
        <v>44562</v>
      </c>
      <c r="I25">
        <v>739.47</v>
      </c>
      <c r="J25">
        <v>92.04</v>
      </c>
      <c r="K25">
        <v>2849.42</v>
      </c>
    </row>
    <row r="26" spans="1:11" x14ac:dyDescent="0.2">
      <c r="A26" s="1">
        <v>44593</v>
      </c>
      <c r="I26">
        <v>738.86</v>
      </c>
      <c r="J26">
        <v>94.28</v>
      </c>
      <c r="K26">
        <v>2856.59</v>
      </c>
    </row>
    <row r="27" spans="1:11" x14ac:dyDescent="0.2">
      <c r="A27" s="1">
        <v>44621</v>
      </c>
      <c r="I27">
        <v>761.88</v>
      </c>
      <c r="J27">
        <v>82.91</v>
      </c>
      <c r="K27">
        <v>2900.03</v>
      </c>
    </row>
    <row r="28" spans="1:11" x14ac:dyDescent="0.2">
      <c r="A28" s="1">
        <v>44652</v>
      </c>
      <c r="I28">
        <v>796.09</v>
      </c>
      <c r="J28">
        <v>79.41</v>
      </c>
      <c r="K28">
        <v>3039.09</v>
      </c>
    </row>
    <row r="29" spans="1:11" x14ac:dyDescent="0.2">
      <c r="A29" s="1">
        <v>44682</v>
      </c>
      <c r="I29">
        <v>841.75</v>
      </c>
      <c r="J29">
        <v>98.03</v>
      </c>
      <c r="K29">
        <v>3110.13</v>
      </c>
    </row>
    <row r="30" spans="1:11" x14ac:dyDescent="0.2">
      <c r="A30" s="1">
        <v>44713</v>
      </c>
      <c r="I30">
        <v>889.46</v>
      </c>
      <c r="J30">
        <v>90.99</v>
      </c>
      <c r="K30">
        <v>3123.69</v>
      </c>
    </row>
    <row r="31" spans="1:11" x14ac:dyDescent="0.2">
      <c r="A31" s="1">
        <v>44743</v>
      </c>
      <c r="I31">
        <v>930.5</v>
      </c>
      <c r="J31">
        <v>82.81</v>
      </c>
      <c r="K31">
        <v>3151.72</v>
      </c>
    </row>
    <row r="32" spans="1:11" x14ac:dyDescent="0.2">
      <c r="A32" s="1">
        <v>44774</v>
      </c>
      <c r="B32">
        <v>500</v>
      </c>
      <c r="C32">
        <v>550</v>
      </c>
      <c r="D32">
        <v>326.375</v>
      </c>
      <c r="E32">
        <v>925</v>
      </c>
      <c r="F32">
        <v>511.5</v>
      </c>
      <c r="G32">
        <v>8.7199999999999989</v>
      </c>
      <c r="H32">
        <v>97.64</v>
      </c>
      <c r="I32">
        <v>955.16</v>
      </c>
      <c r="J32">
        <v>78.14</v>
      </c>
      <c r="K32">
        <v>3186.09</v>
      </c>
    </row>
    <row r="33" spans="1:11" x14ac:dyDescent="0.2">
      <c r="A33" s="1">
        <v>44805</v>
      </c>
      <c r="B33">
        <v>500</v>
      </c>
      <c r="C33">
        <v>530</v>
      </c>
      <c r="D33">
        <v>323.10000000000002</v>
      </c>
      <c r="E33">
        <v>1082.5</v>
      </c>
      <c r="F33">
        <v>576.6</v>
      </c>
      <c r="G33">
        <v>7.9340000000000002</v>
      </c>
      <c r="H33">
        <v>90.61</v>
      </c>
      <c r="I33">
        <v>961.04</v>
      </c>
      <c r="J33">
        <v>70.400000000000006</v>
      </c>
      <c r="K33">
        <v>3252.73</v>
      </c>
    </row>
    <row r="34" spans="1:11" x14ac:dyDescent="0.2">
      <c r="A34" s="1">
        <v>44835</v>
      </c>
      <c r="B34">
        <v>500</v>
      </c>
      <c r="C34">
        <v>530</v>
      </c>
      <c r="D34">
        <v>380.125</v>
      </c>
      <c r="E34">
        <v>1050</v>
      </c>
      <c r="F34">
        <v>531.875</v>
      </c>
      <c r="G34">
        <v>6.07</v>
      </c>
      <c r="H34">
        <v>93.72</v>
      </c>
      <c r="I34">
        <v>964.91</v>
      </c>
      <c r="J34">
        <v>75.040000000000006</v>
      </c>
      <c r="K34">
        <v>3369.26</v>
      </c>
    </row>
    <row r="35" spans="1:11" x14ac:dyDescent="0.2">
      <c r="A35" s="1">
        <v>44866</v>
      </c>
      <c r="B35">
        <v>500</v>
      </c>
      <c r="C35">
        <v>550</v>
      </c>
      <c r="D35">
        <v>390.75</v>
      </c>
      <c r="E35">
        <v>1029.375</v>
      </c>
      <c r="F35">
        <v>516.25</v>
      </c>
      <c r="G35">
        <v>6.3724999999999996</v>
      </c>
      <c r="H35">
        <v>90.94</v>
      </c>
      <c r="I35">
        <v>969.42</v>
      </c>
      <c r="J35">
        <v>66.540000000000006</v>
      </c>
      <c r="K35">
        <v>3406.98</v>
      </c>
    </row>
    <row r="36" spans="1:11" x14ac:dyDescent="0.2">
      <c r="A36" s="1">
        <v>44896</v>
      </c>
      <c r="B36">
        <v>500</v>
      </c>
      <c r="C36">
        <v>540</v>
      </c>
      <c r="D36">
        <v>388.6</v>
      </c>
      <c r="E36">
        <v>894.5</v>
      </c>
      <c r="F36">
        <v>491.5</v>
      </c>
      <c r="G36">
        <v>5.8719999999999999</v>
      </c>
      <c r="H36">
        <v>81.5</v>
      </c>
      <c r="I36">
        <v>977.32</v>
      </c>
      <c r="J36">
        <v>56.28</v>
      </c>
      <c r="K36">
        <v>3431.8</v>
      </c>
    </row>
    <row r="37" spans="1:11" x14ac:dyDescent="0.2">
      <c r="A37" s="1">
        <v>44927</v>
      </c>
      <c r="B37">
        <v>500</v>
      </c>
      <c r="C37">
        <v>550</v>
      </c>
      <c r="D37">
        <v>353.75</v>
      </c>
      <c r="E37">
        <v>821.25</v>
      </c>
      <c r="F37">
        <v>418.75</v>
      </c>
      <c r="G37">
        <v>3.52</v>
      </c>
      <c r="H37">
        <v>84.08</v>
      </c>
      <c r="I37">
        <v>937.02</v>
      </c>
      <c r="J37">
        <v>56.05</v>
      </c>
      <c r="K37">
        <v>3467.08</v>
      </c>
    </row>
    <row r="38" spans="1:11" x14ac:dyDescent="0.2">
      <c r="A38" s="1">
        <v>44958</v>
      </c>
      <c r="B38">
        <v>500</v>
      </c>
      <c r="C38">
        <v>540</v>
      </c>
      <c r="D38">
        <v>269.75</v>
      </c>
      <c r="E38">
        <v>668.75</v>
      </c>
      <c r="F38">
        <v>325</v>
      </c>
      <c r="G38">
        <v>2.4224999999999999</v>
      </c>
      <c r="H38">
        <v>83.63</v>
      </c>
      <c r="I38">
        <v>912.19</v>
      </c>
      <c r="J38">
        <v>60.27</v>
      </c>
      <c r="K38">
        <v>3509.33</v>
      </c>
    </row>
    <row r="39" spans="1:11" x14ac:dyDescent="0.2">
      <c r="A39" s="1">
        <v>44986</v>
      </c>
      <c r="B39">
        <v>460</v>
      </c>
      <c r="C39">
        <v>550</v>
      </c>
      <c r="D39">
        <v>262.7</v>
      </c>
      <c r="E39">
        <v>428.5</v>
      </c>
      <c r="F39">
        <v>295</v>
      </c>
      <c r="G39">
        <v>2.4340000000000002</v>
      </c>
      <c r="H39">
        <v>79.260000000000005</v>
      </c>
      <c r="I39">
        <v>890.75</v>
      </c>
      <c r="J39">
        <v>58.5</v>
      </c>
      <c r="K39">
        <v>3525.27</v>
      </c>
    </row>
    <row r="40" spans="1:11" x14ac:dyDescent="0.2">
      <c r="A40" s="1">
        <v>45017</v>
      </c>
      <c r="B40">
        <v>460</v>
      </c>
      <c r="C40">
        <v>550</v>
      </c>
      <c r="D40">
        <v>204.75</v>
      </c>
      <c r="E40">
        <v>270.625</v>
      </c>
      <c r="F40">
        <v>286.25</v>
      </c>
      <c r="G40">
        <v>2.1875</v>
      </c>
      <c r="H40">
        <v>83.54</v>
      </c>
      <c r="I40">
        <v>861.21</v>
      </c>
      <c r="J40">
        <v>62.2</v>
      </c>
      <c r="K40">
        <v>3496.81</v>
      </c>
    </row>
    <row r="41" spans="1:11" x14ac:dyDescent="0.2">
      <c r="A41" s="1">
        <v>45047</v>
      </c>
      <c r="B41">
        <v>460</v>
      </c>
      <c r="C41">
        <v>330</v>
      </c>
      <c r="D41">
        <v>175.625</v>
      </c>
      <c r="E41">
        <v>241.25</v>
      </c>
      <c r="F41">
        <v>295.625</v>
      </c>
      <c r="G41">
        <v>2.2999999999999998</v>
      </c>
      <c r="H41">
        <v>75.75</v>
      </c>
      <c r="I41">
        <v>831.45</v>
      </c>
      <c r="J41">
        <v>53.6</v>
      </c>
      <c r="K41">
        <v>3461.07</v>
      </c>
    </row>
    <row r="42" spans="1:11" x14ac:dyDescent="0.2">
      <c r="A42" s="1">
        <v>45078</v>
      </c>
      <c r="B42">
        <v>300</v>
      </c>
      <c r="C42">
        <v>330</v>
      </c>
      <c r="D42">
        <v>136.5</v>
      </c>
      <c r="E42">
        <v>206</v>
      </c>
      <c r="F42">
        <v>254.1</v>
      </c>
      <c r="G42">
        <v>2.456</v>
      </c>
      <c r="H42">
        <v>74.98</v>
      </c>
      <c r="I42">
        <v>809.12</v>
      </c>
      <c r="J42">
        <v>57.47</v>
      </c>
      <c r="K42">
        <v>3439</v>
      </c>
    </row>
    <row r="43" spans="1:11" x14ac:dyDescent="0.2">
      <c r="A43" s="1">
        <v>45108</v>
      </c>
      <c r="B43">
        <v>300</v>
      </c>
      <c r="C43">
        <v>330</v>
      </c>
      <c r="D43">
        <v>149.375</v>
      </c>
      <c r="E43">
        <v>257.5</v>
      </c>
      <c r="F43">
        <v>305.75</v>
      </c>
      <c r="G43">
        <v>2.6349999999999998</v>
      </c>
      <c r="H43">
        <v>80.11</v>
      </c>
      <c r="I43">
        <v>790.14</v>
      </c>
      <c r="J43">
        <v>70.23</v>
      </c>
      <c r="K43">
        <v>3441.13</v>
      </c>
    </row>
    <row r="44" spans="1:11" x14ac:dyDescent="0.2">
      <c r="A44" s="1">
        <v>45139</v>
      </c>
      <c r="B44">
        <v>250</v>
      </c>
      <c r="C44">
        <v>280</v>
      </c>
      <c r="D44">
        <v>216.25</v>
      </c>
      <c r="E44">
        <v>333.75</v>
      </c>
      <c r="F44">
        <v>357.5</v>
      </c>
      <c r="G44">
        <v>2.6375000000000002</v>
      </c>
      <c r="H44">
        <v>85.17</v>
      </c>
      <c r="I44">
        <v>780.54</v>
      </c>
      <c r="J44">
        <v>71.12</v>
      </c>
      <c r="K44">
        <v>3470.1</v>
      </c>
    </row>
    <row r="45" spans="1:11" x14ac:dyDescent="0.2">
      <c r="A45" s="1">
        <v>45170</v>
      </c>
      <c r="B45">
        <v>250</v>
      </c>
      <c r="C45">
        <v>280</v>
      </c>
      <c r="D45">
        <v>256</v>
      </c>
      <c r="E45">
        <v>448</v>
      </c>
      <c r="F45">
        <v>349.1</v>
      </c>
      <c r="G45">
        <v>2.6880000000000002</v>
      </c>
      <c r="H45">
        <v>92.67</v>
      </c>
      <c r="I45">
        <v>782.19</v>
      </c>
      <c r="J45">
        <v>82.02</v>
      </c>
      <c r="K45">
        <v>3466.28</v>
      </c>
    </row>
    <row r="46" spans="1:11" x14ac:dyDescent="0.2">
      <c r="A46" s="1">
        <v>45200</v>
      </c>
      <c r="B46">
        <v>250</v>
      </c>
      <c r="C46">
        <v>280</v>
      </c>
      <c r="D46">
        <v>220.625</v>
      </c>
      <c r="E46">
        <v>550</v>
      </c>
      <c r="F46">
        <v>356.25</v>
      </c>
      <c r="G46">
        <v>3.1175000000000002</v>
      </c>
      <c r="H46">
        <v>88.95</v>
      </c>
      <c r="I46">
        <v>792.29</v>
      </c>
      <c r="J46">
        <v>75.8</v>
      </c>
      <c r="K46">
        <v>3452.57</v>
      </c>
    </row>
    <row r="47" spans="1:11" x14ac:dyDescent="0.2">
      <c r="A47" s="1">
        <v>45231</v>
      </c>
      <c r="B47">
        <v>300</v>
      </c>
      <c r="C47">
        <v>280</v>
      </c>
      <c r="D47">
        <v>196.5</v>
      </c>
      <c r="E47">
        <v>550</v>
      </c>
      <c r="F47">
        <v>341.875</v>
      </c>
      <c r="G47">
        <v>3.1425000000000001</v>
      </c>
      <c r="H47">
        <v>82.19</v>
      </c>
      <c r="I47">
        <v>809.33</v>
      </c>
      <c r="J47">
        <v>64.599999999999994</v>
      </c>
      <c r="K47">
        <v>3440.89</v>
      </c>
    </row>
    <row r="48" spans="1:11" x14ac:dyDescent="0.2">
      <c r="A48" s="1">
        <v>45261</v>
      </c>
      <c r="B48">
        <v>300</v>
      </c>
      <c r="C48">
        <v>330</v>
      </c>
      <c r="D48">
        <v>176.5</v>
      </c>
      <c r="E48">
        <v>463</v>
      </c>
      <c r="F48">
        <v>282.5</v>
      </c>
      <c r="G48">
        <v>2.5760000000000001</v>
      </c>
      <c r="H48">
        <v>77.540000000000006</v>
      </c>
      <c r="I48">
        <v>824.08</v>
      </c>
      <c r="J48">
        <v>59.7</v>
      </c>
      <c r="K48">
        <v>3420.68</v>
      </c>
    </row>
    <row r="49" spans="1:11" x14ac:dyDescent="0.2">
      <c r="A49" s="1">
        <v>45292</v>
      </c>
      <c r="B49">
        <v>310</v>
      </c>
      <c r="C49">
        <v>330</v>
      </c>
      <c r="D49">
        <v>181.875</v>
      </c>
      <c r="E49">
        <v>425</v>
      </c>
      <c r="F49">
        <v>270</v>
      </c>
      <c r="G49">
        <v>2.7925</v>
      </c>
      <c r="H49">
        <v>79.11</v>
      </c>
      <c r="I49">
        <v>883.02</v>
      </c>
      <c r="J49">
        <v>72.209999999999994</v>
      </c>
      <c r="K49">
        <v>3407.45</v>
      </c>
    </row>
    <row r="50" spans="1:11" x14ac:dyDescent="0.2">
      <c r="A50" s="1">
        <v>45323</v>
      </c>
      <c r="B50">
        <v>310</v>
      </c>
      <c r="C50">
        <v>330</v>
      </c>
      <c r="D50">
        <v>209.375</v>
      </c>
      <c r="E50">
        <v>325</v>
      </c>
      <c r="F50">
        <v>307.25</v>
      </c>
      <c r="G50">
        <v>1.86</v>
      </c>
      <c r="H50">
        <v>81.8</v>
      </c>
      <c r="I50">
        <v>865.74</v>
      </c>
      <c r="J50">
        <v>74.59</v>
      </c>
      <c r="K50">
        <v>3392.45</v>
      </c>
    </row>
    <row r="51" spans="1:11" x14ac:dyDescent="0.2">
      <c r="A51" s="1">
        <v>45352</v>
      </c>
      <c r="B51">
        <v>300</v>
      </c>
      <c r="C51">
        <v>330</v>
      </c>
      <c r="D51">
        <v>230</v>
      </c>
      <c r="E51">
        <v>305</v>
      </c>
      <c r="F51">
        <v>303</v>
      </c>
      <c r="G51">
        <v>1.748</v>
      </c>
      <c r="H51">
        <v>84.96</v>
      </c>
      <c r="I51">
        <v>859.47</v>
      </c>
      <c r="J51">
        <v>77.430000000000007</v>
      </c>
      <c r="K51">
        <v>3376.21</v>
      </c>
    </row>
    <row r="52" spans="1:11" x14ac:dyDescent="0.2">
      <c r="A52" s="1">
        <v>45383</v>
      </c>
      <c r="B52">
        <v>300</v>
      </c>
      <c r="C52">
        <v>330</v>
      </c>
      <c r="D52">
        <v>205.625</v>
      </c>
      <c r="E52">
        <v>266.125</v>
      </c>
      <c r="F52">
        <v>267.5</v>
      </c>
      <c r="G52">
        <v>1.77</v>
      </c>
      <c r="H52">
        <v>88.97</v>
      </c>
      <c r="I52">
        <v>849.52</v>
      </c>
      <c r="J52">
        <v>79.53</v>
      </c>
      <c r="K52">
        <v>3376.53</v>
      </c>
    </row>
    <row r="53" spans="1:11" x14ac:dyDescent="0.2">
      <c r="A53" s="1">
        <v>45413</v>
      </c>
      <c r="B53">
        <v>260</v>
      </c>
      <c r="C53">
        <v>300</v>
      </c>
      <c r="D53">
        <v>182.5</v>
      </c>
      <c r="E53">
        <v>277.5</v>
      </c>
      <c r="F53">
        <v>251</v>
      </c>
      <c r="G53">
        <v>2.3919999999999999</v>
      </c>
      <c r="H53">
        <v>83.05</v>
      </c>
      <c r="I53">
        <v>839.49</v>
      </c>
      <c r="J53">
        <v>71.48</v>
      </c>
      <c r="K53">
        <v>3381.29</v>
      </c>
    </row>
    <row r="54" spans="1:11" x14ac:dyDescent="0.2">
      <c r="A54" s="1">
        <v>45444</v>
      </c>
      <c r="B54">
        <v>230</v>
      </c>
      <c r="C54">
        <v>270</v>
      </c>
      <c r="D54">
        <v>203.125</v>
      </c>
      <c r="E54">
        <v>291.25</v>
      </c>
      <c r="F54">
        <v>295</v>
      </c>
      <c r="G54">
        <v>2.81</v>
      </c>
      <c r="H54">
        <v>82.92</v>
      </c>
      <c r="I54">
        <v>828.94</v>
      </c>
      <c r="J54">
        <v>80.319999999999993</v>
      </c>
      <c r="K54">
        <v>3381.16</v>
      </c>
    </row>
    <row r="55" spans="1:11" x14ac:dyDescent="0.2">
      <c r="A55" s="1">
        <v>45474</v>
      </c>
      <c r="B55">
        <v>258</v>
      </c>
      <c r="C55">
        <v>272</v>
      </c>
      <c r="D55">
        <v>222.5</v>
      </c>
      <c r="E55">
        <v>305</v>
      </c>
      <c r="F55">
        <v>308.75</v>
      </c>
      <c r="G55">
        <v>2.2475000000000001</v>
      </c>
      <c r="H55">
        <v>84.05</v>
      </c>
      <c r="I55">
        <v>816.49</v>
      </c>
      <c r="J55">
        <v>75.27</v>
      </c>
      <c r="K55">
        <v>3380.89</v>
      </c>
    </row>
    <row r="56" spans="1:11" x14ac:dyDescent="0.2">
      <c r="A56" s="1">
        <v>45505</v>
      </c>
      <c r="B56">
        <v>250</v>
      </c>
      <c r="C56">
        <v>277</v>
      </c>
      <c r="D56">
        <v>239</v>
      </c>
      <c r="E56">
        <v>345.5</v>
      </c>
      <c r="F56">
        <v>303</v>
      </c>
      <c r="G56">
        <v>2.08</v>
      </c>
      <c r="H56">
        <v>79.02</v>
      </c>
      <c r="I56">
        <v>809.47</v>
      </c>
      <c r="J56">
        <v>74.08</v>
      </c>
      <c r="K56">
        <v>3381.01</v>
      </c>
    </row>
    <row r="57" spans="1:11" x14ac:dyDescent="0.2">
      <c r="A57" s="1">
        <v>45536</v>
      </c>
      <c r="B57">
        <v>229</v>
      </c>
      <c r="C57">
        <v>252</v>
      </c>
      <c r="D57">
        <v>248.125</v>
      </c>
      <c r="E57">
        <v>388.75</v>
      </c>
      <c r="F57">
        <v>301.875</v>
      </c>
      <c r="G57">
        <v>2.375</v>
      </c>
      <c r="H57">
        <v>73.06</v>
      </c>
      <c r="I57">
        <v>802.45</v>
      </c>
      <c r="J57">
        <v>66.44</v>
      </c>
      <c r="K57">
        <v>3381</v>
      </c>
    </row>
    <row r="58" spans="1:11" x14ac:dyDescent="0.2">
      <c r="A58" s="1">
        <v>45566</v>
      </c>
      <c r="B58">
        <v>259</v>
      </c>
      <c r="C58">
        <v>270</v>
      </c>
      <c r="D58">
        <v>242.5</v>
      </c>
      <c r="E58">
        <v>430</v>
      </c>
      <c r="F58">
        <v>321.875</v>
      </c>
      <c r="G58">
        <v>2.6</v>
      </c>
      <c r="H58">
        <v>75.27</v>
      </c>
      <c r="I58">
        <v>795.43</v>
      </c>
      <c r="J58">
        <v>66.7</v>
      </c>
      <c r="K58">
        <v>3391.61</v>
      </c>
    </row>
    <row r="59" spans="1:11" x14ac:dyDescent="0.2">
      <c r="A59" s="1">
        <v>45597</v>
      </c>
      <c r="B59">
        <v>265</v>
      </c>
      <c r="C59">
        <v>270</v>
      </c>
      <c r="D59">
        <v>238</v>
      </c>
      <c r="E59">
        <v>430</v>
      </c>
      <c r="F59">
        <v>316.3</v>
      </c>
      <c r="G59">
        <v>2.9260000000000002</v>
      </c>
      <c r="H59">
        <v>73.510000000000005</v>
      </c>
      <c r="I59">
        <v>790.27</v>
      </c>
      <c r="J59">
        <v>67.47</v>
      </c>
      <c r="K59">
        <v>3412.78</v>
      </c>
    </row>
    <row r="60" spans="1:11" x14ac:dyDescent="0.2">
      <c r="A60" s="1">
        <v>45627</v>
      </c>
      <c r="B60">
        <v>244</v>
      </c>
      <c r="C60">
        <v>270</v>
      </c>
      <c r="D60">
        <v>220.125</v>
      </c>
      <c r="E60">
        <v>415</v>
      </c>
      <c r="F60">
        <v>312.5</v>
      </c>
      <c r="G60">
        <v>3.3849999999999998</v>
      </c>
      <c r="H60">
        <v>73.23</v>
      </c>
      <c r="I60">
        <v>789.52</v>
      </c>
      <c r="J60">
        <v>68.510000000000005</v>
      </c>
      <c r="K60">
        <v>3417.97</v>
      </c>
    </row>
    <row r="61" spans="1:11" x14ac:dyDescent="0.2">
      <c r="A61" s="1">
        <v>45658</v>
      </c>
      <c r="B61">
        <v>276</v>
      </c>
      <c r="C61">
        <v>301</v>
      </c>
      <c r="D61">
        <v>221.4</v>
      </c>
      <c r="E61">
        <v>398.5</v>
      </c>
      <c r="F61">
        <v>344.5</v>
      </c>
      <c r="G61">
        <v>3.7320000000000002</v>
      </c>
      <c r="H61">
        <v>78.19</v>
      </c>
      <c r="I61">
        <v>791.83</v>
      </c>
      <c r="J61">
        <v>70.12</v>
      </c>
      <c r="K61">
        <v>3430.61</v>
      </c>
    </row>
    <row r="62" spans="1:11" x14ac:dyDescent="0.2">
      <c r="A62" s="1">
        <v>45689</v>
      </c>
      <c r="B62">
        <v>308</v>
      </c>
      <c r="C62">
        <v>310</v>
      </c>
      <c r="D62">
        <v>240</v>
      </c>
      <c r="E62">
        <v>343.125</v>
      </c>
      <c r="F62">
        <v>383.75</v>
      </c>
      <c r="G62">
        <v>3.7650000000000001</v>
      </c>
      <c r="H62">
        <v>75.19</v>
      </c>
      <c r="I62">
        <v>790.75</v>
      </c>
      <c r="J62">
        <v>65.489999999999995</v>
      </c>
      <c r="K62">
        <v>3458.32</v>
      </c>
    </row>
    <row r="63" spans="1:11" x14ac:dyDescent="0.2">
      <c r="A63" s="1">
        <v>45717</v>
      </c>
      <c r="B63">
        <v>301</v>
      </c>
      <c r="C63">
        <v>311</v>
      </c>
      <c r="D63">
        <v>236.25</v>
      </c>
      <c r="E63">
        <v>308.75</v>
      </c>
      <c r="F63">
        <v>352.5</v>
      </c>
      <c r="G63">
        <v>4.1375000000000002</v>
      </c>
      <c r="H63">
        <v>71.739999999999995</v>
      </c>
      <c r="I63">
        <v>788.2</v>
      </c>
      <c r="K63">
        <v>3474.07</v>
      </c>
    </row>
    <row r="64" spans="1:11" x14ac:dyDescent="0.2">
      <c r="A64" s="1">
        <v>45748</v>
      </c>
      <c r="B64">
        <v>305</v>
      </c>
      <c r="C64">
        <v>315</v>
      </c>
      <c r="D64">
        <v>224.375</v>
      </c>
      <c r="E64">
        <v>302.5</v>
      </c>
      <c r="F64">
        <v>341.25</v>
      </c>
      <c r="G64">
        <v>3.4725000000000001</v>
      </c>
      <c r="H64">
        <v>66.930000000000007</v>
      </c>
      <c r="I64">
        <v>765.23</v>
      </c>
      <c r="J64">
        <v>58.28</v>
      </c>
      <c r="K64">
        <v>3542.03</v>
      </c>
    </row>
    <row r="65" spans="1:11" x14ac:dyDescent="0.2">
      <c r="A65" s="1">
        <v>45778</v>
      </c>
      <c r="B65">
        <v>321</v>
      </c>
      <c r="C65">
        <v>325</v>
      </c>
      <c r="D65">
        <v>214.5</v>
      </c>
      <c r="E65">
        <v>302.5</v>
      </c>
      <c r="F65">
        <v>351</v>
      </c>
      <c r="G65">
        <v>3.4380000000000002</v>
      </c>
      <c r="H65">
        <v>64.09</v>
      </c>
      <c r="I65">
        <v>746.85</v>
      </c>
      <c r="J65">
        <v>57.95</v>
      </c>
      <c r="K65">
        <v>3572.8</v>
      </c>
    </row>
    <row r="66" spans="1:11" x14ac:dyDescent="0.2">
      <c r="A66" s="1">
        <v>45809</v>
      </c>
      <c r="B66">
        <v>308</v>
      </c>
      <c r="C66">
        <v>315</v>
      </c>
      <c r="D66">
        <v>244.375</v>
      </c>
      <c r="E66">
        <v>290</v>
      </c>
      <c r="F66">
        <v>382.5</v>
      </c>
      <c r="G66">
        <v>3.665</v>
      </c>
      <c r="H66">
        <v>69.849999999999994</v>
      </c>
      <c r="I66">
        <v>729.57</v>
      </c>
      <c r="J66">
        <v>63.31</v>
      </c>
      <c r="K66">
        <v>3577.56</v>
      </c>
    </row>
    <row r="67" spans="1:11" x14ac:dyDescent="0.2">
      <c r="A67" s="1">
        <v>45839</v>
      </c>
      <c r="B67">
        <v>308</v>
      </c>
      <c r="C67">
        <v>320</v>
      </c>
      <c r="D67">
        <v>313.75</v>
      </c>
      <c r="E67">
        <v>305</v>
      </c>
      <c r="F67">
        <v>417.75</v>
      </c>
      <c r="G67">
        <v>3.3650000000000002</v>
      </c>
      <c r="H67">
        <v>69.56</v>
      </c>
      <c r="I67">
        <v>717.51</v>
      </c>
      <c r="J67">
        <v>65.599999999999994</v>
      </c>
      <c r="K67">
        <v>3584.68</v>
      </c>
    </row>
    <row r="68" spans="1:11" x14ac:dyDescent="0.2">
      <c r="A68" s="1">
        <v>45870</v>
      </c>
      <c r="B68">
        <v>370</v>
      </c>
      <c r="C68">
        <v>370</v>
      </c>
      <c r="D68">
        <v>308.7</v>
      </c>
      <c r="E68">
        <v>323.5</v>
      </c>
      <c r="F68">
        <v>443.8</v>
      </c>
      <c r="G68">
        <v>2.9159999999999999</v>
      </c>
      <c r="H68">
        <v>67.239999999999995</v>
      </c>
      <c r="I68">
        <v>713.17</v>
      </c>
      <c r="J68">
        <v>65.099999999999994</v>
      </c>
      <c r="K68">
        <v>3592.14</v>
      </c>
    </row>
    <row r="69" spans="1:11" x14ac:dyDescent="0.2">
      <c r="A69" s="1">
        <v>45901</v>
      </c>
      <c r="B69">
        <v>373</v>
      </c>
      <c r="C69">
        <v>391</v>
      </c>
      <c r="D69">
        <v>280.625</v>
      </c>
      <c r="E69">
        <v>352.5</v>
      </c>
      <c r="F69">
        <v>388.625</v>
      </c>
      <c r="G69">
        <v>2.9824999999999999</v>
      </c>
      <c r="H69">
        <v>67.61</v>
      </c>
      <c r="I69">
        <v>710.85</v>
      </c>
      <c r="J69">
        <v>65.8</v>
      </c>
      <c r="K69">
        <v>3593.92</v>
      </c>
    </row>
    <row r="70" spans="1:11" x14ac:dyDescent="0.2">
      <c r="A70" s="1">
        <v>45931</v>
      </c>
      <c r="B70">
        <v>375</v>
      </c>
      <c r="C70">
        <v>411</v>
      </c>
      <c r="D70">
        <v>245</v>
      </c>
      <c r="E70">
        <v>400</v>
      </c>
      <c r="F70">
        <v>365.5</v>
      </c>
      <c r="G70">
        <v>3.3460000000000001</v>
      </c>
      <c r="H70">
        <v>63.98</v>
      </c>
      <c r="I70">
        <v>711.68</v>
      </c>
      <c r="J70">
        <v>58.6</v>
      </c>
      <c r="K70">
        <v>3592.18</v>
      </c>
    </row>
    <row r="71" spans="1:11" x14ac:dyDescent="0.2">
      <c r="A71" s="1">
        <v>45962</v>
      </c>
      <c r="B71">
        <v>328</v>
      </c>
      <c r="C71">
        <v>360</v>
      </c>
      <c r="D71">
        <v>247.5</v>
      </c>
      <c r="E71">
        <v>448.75</v>
      </c>
      <c r="F71">
        <v>367.75</v>
      </c>
      <c r="G71">
        <v>4.4749999999999996</v>
      </c>
      <c r="H71">
        <v>63.69</v>
      </c>
      <c r="I71">
        <v>714.92</v>
      </c>
      <c r="J71">
        <v>55.9</v>
      </c>
      <c r="K71">
        <v>3570.73</v>
      </c>
    </row>
    <row r="72" spans="1:11" x14ac:dyDescent="0.2">
      <c r="A72" s="1">
        <v>45992</v>
      </c>
      <c r="B72">
        <v>328</v>
      </c>
      <c r="C72">
        <v>360</v>
      </c>
      <c r="D72">
        <v>258.75</v>
      </c>
      <c r="E72">
        <v>496.875</v>
      </c>
      <c r="F72">
        <v>346.25</v>
      </c>
      <c r="G72">
        <v>4.43</v>
      </c>
      <c r="H72">
        <v>61.81</v>
      </c>
      <c r="I72">
        <v>732.76</v>
      </c>
      <c r="J72">
        <v>51.3</v>
      </c>
      <c r="K72">
        <v>3549.34</v>
      </c>
    </row>
    <row r="73" spans="1:11" x14ac:dyDescent="0.2">
      <c r="A73" s="1">
        <v>46023</v>
      </c>
      <c r="B73">
        <v>346</v>
      </c>
      <c r="C73">
        <v>361</v>
      </c>
      <c r="D73">
        <v>280.5</v>
      </c>
      <c r="E73">
        <v>520</v>
      </c>
      <c r="F73">
        <v>378.8</v>
      </c>
      <c r="G73">
        <v>4.1920000000000002</v>
      </c>
      <c r="H73">
        <v>64.59</v>
      </c>
      <c r="I73">
        <v>826.24</v>
      </c>
      <c r="J73">
        <v>55.2</v>
      </c>
      <c r="K73">
        <v>3560.74</v>
      </c>
    </row>
    <row r="74" spans="1:11" x14ac:dyDescent="0.2">
      <c r="A74" s="1">
        <v>46054</v>
      </c>
      <c r="B74">
        <v>348</v>
      </c>
      <c r="C74">
        <v>364</v>
      </c>
      <c r="D74">
        <v>328.125</v>
      </c>
      <c r="E74">
        <v>493.125</v>
      </c>
      <c r="F74">
        <v>424.375</v>
      </c>
      <c r="G74">
        <v>3.1349999999999998</v>
      </c>
      <c r="H74">
        <v>69.597499999999997</v>
      </c>
      <c r="I74">
        <v>791.71</v>
      </c>
      <c r="J74">
        <v>58.6</v>
      </c>
      <c r="K74">
        <v>3565.75</v>
      </c>
    </row>
    <row r="75" spans="1:11" x14ac:dyDescent="0.2">
      <c r="A75" s="1">
        <v>46082</v>
      </c>
      <c r="B75">
        <v>476.4975</v>
      </c>
      <c r="C75">
        <v>511.745</v>
      </c>
      <c r="D75">
        <v>395</v>
      </c>
      <c r="E75">
        <v>582.5</v>
      </c>
      <c r="F75">
        <v>603.75</v>
      </c>
      <c r="G75">
        <v>3.0550000000000002</v>
      </c>
      <c r="H75">
        <v>104.86499999999999</v>
      </c>
      <c r="I75">
        <v>765.98</v>
      </c>
      <c r="J75">
        <v>109.69</v>
      </c>
      <c r="K75">
        <v>3566.6</v>
      </c>
    </row>
    <row r="76" spans="1:11" x14ac:dyDescent="0.2">
      <c r="A76" s="1">
        <v>46113</v>
      </c>
      <c r="B76">
        <v>552.16499999999996</v>
      </c>
      <c r="C76">
        <v>643.9375</v>
      </c>
      <c r="D76">
        <v>473.125</v>
      </c>
      <c r="E76">
        <v>683.125</v>
      </c>
      <c r="F76">
        <v>719.375</v>
      </c>
      <c r="G76">
        <v>2.7250000000000001</v>
      </c>
      <c r="H76">
        <v>102.355</v>
      </c>
      <c r="I76">
        <v>831.55</v>
      </c>
      <c r="J76">
        <v>108.57</v>
      </c>
      <c r="K76">
        <v>3573.54</v>
      </c>
    </row>
    <row r="77" spans="1:11" x14ac:dyDescent="0.2">
      <c r="A77" s="1">
        <v>46143</v>
      </c>
      <c r="B77">
        <v>603.80799999999999</v>
      </c>
      <c r="C77">
        <v>708.97399999999993</v>
      </c>
      <c r="D77">
        <v>495.5</v>
      </c>
      <c r="E77">
        <v>770</v>
      </c>
      <c r="F77">
        <v>629</v>
      </c>
      <c r="G77">
        <v>2.86</v>
      </c>
      <c r="H77">
        <v>102.676</v>
      </c>
      <c r="I77">
        <v>917.25</v>
      </c>
      <c r="J77">
        <v>86.38</v>
      </c>
      <c r="K77">
        <v>3576.09</v>
      </c>
    </row>
    <row r="78" spans="1:11" x14ac:dyDescent="0.2">
      <c r="A78" s="1">
        <v>46174</v>
      </c>
      <c r="B78">
        <v>519.49249999999995</v>
      </c>
      <c r="C78">
        <v>576.45249999999999</v>
      </c>
      <c r="D78">
        <v>417.5</v>
      </c>
      <c r="E78">
        <v>790</v>
      </c>
      <c r="F78">
        <v>406.125</v>
      </c>
      <c r="G78">
        <v>3.2025000000000001</v>
      </c>
      <c r="H78">
        <v>83.402500000000003</v>
      </c>
      <c r="I78">
        <v>950.31</v>
      </c>
      <c r="J78">
        <v>57.4</v>
      </c>
      <c r="K78">
        <v>3576.69</v>
      </c>
    </row>
    <row r="79" spans="1:11" x14ac:dyDescent="0.2">
      <c r="A79" s="1">
        <v>46204</v>
      </c>
      <c r="B79">
        <v>463.16500000000002</v>
      </c>
      <c r="C79">
        <v>475.64499999999998</v>
      </c>
      <c r="D79">
        <v>392.5</v>
      </c>
      <c r="E79">
        <v>770</v>
      </c>
      <c r="F79">
        <v>362</v>
      </c>
      <c r="G79">
        <v>3.24</v>
      </c>
      <c r="H79">
        <v>74.05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9"/>
  <sheetViews>
    <sheetView topLeftCell="A67" workbookViewId="0"/>
  </sheetViews>
  <sheetFormatPr baseColWidth="10" defaultColWidth="8.83203125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f>Input!A2</f>
        <v>43862</v>
      </c>
    </row>
    <row r="3" spans="1:11" x14ac:dyDescent="0.2">
      <c r="A3">
        <f>Input!A3</f>
        <v>43891</v>
      </c>
      <c r="B3" t="str">
        <f>IFERROR((Input!B3-Input!B2)/Input!B2, "")</f>
        <v/>
      </c>
      <c r="C3" t="str">
        <f>IFERROR((Input!C3-Input!C2)/Input!C2, "")</f>
        <v/>
      </c>
      <c r="D3" t="str">
        <f>IFERROR((Input!D3-Input!D2)/Input!D2, "")</f>
        <v/>
      </c>
      <c r="E3" t="str">
        <f>IFERROR((Input!E3-Input!E2)/Input!E2, "")</f>
        <v/>
      </c>
      <c r="F3" t="str">
        <f>IFERROR((Input!F3-Input!F2)/Input!F2, "")</f>
        <v/>
      </c>
      <c r="G3" t="str">
        <f>IFERROR((Input!G3-Input!G2)/Input!G2, "")</f>
        <v/>
      </c>
      <c r="H3" t="str">
        <f>IFERROR((Input!H3-Input!H2)/Input!H2, "")</f>
        <v/>
      </c>
      <c r="I3">
        <f>IFERROR((Input!I3-Input!I2)/Input!I2, "")</f>
        <v>-2.0375880971025828E-2</v>
      </c>
      <c r="J3">
        <f>IFERROR((Input!J3-Input!J2)/Input!J2, "")</f>
        <v>-0.69074907900122806</v>
      </c>
      <c r="K3">
        <f>IFERROR((Input!K3-Input!K2)/Input!K2, "")</f>
        <v>4.3526360652169976E-3</v>
      </c>
    </row>
    <row r="4" spans="1:11" x14ac:dyDescent="0.2">
      <c r="A4">
        <f>Input!A4</f>
        <v>43922</v>
      </c>
      <c r="B4" t="str">
        <f>IFERROR((Input!B4-Input!B3)/Input!B3, "")</f>
        <v/>
      </c>
      <c r="C4" t="str">
        <f>IFERROR((Input!C4-Input!C3)/Input!C3, "")</f>
        <v/>
      </c>
      <c r="D4" t="str">
        <f>IFERROR((Input!D4-Input!D3)/Input!D3, "")</f>
        <v/>
      </c>
      <c r="E4" t="str">
        <f>IFERROR((Input!E4-Input!E3)/Input!E3, "")</f>
        <v/>
      </c>
      <c r="F4" t="str">
        <f>IFERROR((Input!F4-Input!F3)/Input!F3, "")</f>
        <v/>
      </c>
      <c r="G4" t="str">
        <f>IFERROR((Input!G4-Input!G3)/Input!G3, "")</f>
        <v/>
      </c>
      <c r="H4" t="str">
        <f>IFERROR((Input!H4-Input!H3)/Input!H3, "")</f>
        <v/>
      </c>
      <c r="I4">
        <f>IFERROR((Input!I4-Input!I3)/Input!I3, "")</f>
        <v>-8.0193128587187593E-2</v>
      </c>
      <c r="J4">
        <f>IFERROR((Input!J4-Input!J3)/Input!J3, "")</f>
        <v>0.24288550628722713</v>
      </c>
      <c r="K4">
        <f>IFERROR((Input!K4-Input!K3)/Input!K3, "")</f>
        <v>5.0921829574388719E-3</v>
      </c>
    </row>
    <row r="5" spans="1:11" x14ac:dyDescent="0.2">
      <c r="A5">
        <f>Input!A5</f>
        <v>43952</v>
      </c>
      <c r="B5" t="str">
        <f>IFERROR((Input!B5-Input!B4)/Input!B4, "")</f>
        <v/>
      </c>
      <c r="C5" t="str">
        <f>IFERROR((Input!C5-Input!C4)/Input!C4, "")</f>
        <v/>
      </c>
      <c r="D5" t="str">
        <f>IFERROR((Input!D5-Input!D4)/Input!D4, "")</f>
        <v/>
      </c>
      <c r="E5" t="str">
        <f>IFERROR((Input!E5-Input!E4)/Input!E4, "")</f>
        <v/>
      </c>
      <c r="F5" t="str">
        <f>IFERROR((Input!F5-Input!F4)/Input!F4, "")</f>
        <v/>
      </c>
      <c r="G5" t="str">
        <f>IFERROR((Input!G5-Input!G4)/Input!G4, "")</f>
        <v/>
      </c>
      <c r="H5" t="str">
        <f>IFERROR((Input!H5-Input!H4)/Input!H4, "")</f>
        <v/>
      </c>
      <c r="I5">
        <f>IFERROR((Input!I5-Input!I4)/Input!I4, "")</f>
        <v>-0.1176889784992961</v>
      </c>
      <c r="J5">
        <f>IFERROR((Input!J5-Input!J4)/Input!J4, "")</f>
        <v>0.88817891373801905</v>
      </c>
      <c r="K5">
        <f>IFERROR((Input!K5-Input!K4)/Input!K4, "")</f>
        <v>5.0663840031619656E-3</v>
      </c>
    </row>
    <row r="6" spans="1:11" x14ac:dyDescent="0.2">
      <c r="A6">
        <f>Input!A6</f>
        <v>43983</v>
      </c>
      <c r="B6" t="str">
        <f>IFERROR((Input!B6-Input!B5)/Input!B5, "")</f>
        <v/>
      </c>
      <c r="C6" t="str">
        <f>IFERROR((Input!C6-Input!C5)/Input!C5, "")</f>
        <v/>
      </c>
      <c r="D6" t="str">
        <f>IFERROR((Input!D6-Input!D5)/Input!D5, "")</f>
        <v/>
      </c>
      <c r="E6" t="str">
        <f>IFERROR((Input!E6-Input!E5)/Input!E5, "")</f>
        <v/>
      </c>
      <c r="F6" t="str">
        <f>IFERROR((Input!F6-Input!F5)/Input!F5, "")</f>
        <v/>
      </c>
      <c r="G6" t="str">
        <f>IFERROR((Input!G6-Input!G5)/Input!G5, "")</f>
        <v/>
      </c>
      <c r="H6" t="str">
        <f>IFERROR((Input!H6-Input!H5)/Input!H5, "")</f>
        <v/>
      </c>
      <c r="I6">
        <f>IFERROR((Input!I6-Input!I5)/Input!I5, "")</f>
        <v>-0.11979433434458847</v>
      </c>
      <c r="J6">
        <f>IFERROR((Input!J6-Input!J5)/Input!J5, "")</f>
        <v>0.24534686971235181</v>
      </c>
      <c r="K6">
        <f>IFERROR((Input!K6-Input!K5)/Input!K5, "")</f>
        <v>6.6138748368875459E-3</v>
      </c>
    </row>
    <row r="7" spans="1:11" x14ac:dyDescent="0.2">
      <c r="A7">
        <f>Input!A7</f>
        <v>44013</v>
      </c>
      <c r="B7" t="str">
        <f>IFERROR((Input!B7-Input!B6)/Input!B6, "")</f>
        <v/>
      </c>
      <c r="C7" t="str">
        <f>IFERROR((Input!C7-Input!C6)/Input!C6, "")</f>
        <v/>
      </c>
      <c r="D7" t="str">
        <f>IFERROR((Input!D7-Input!D6)/Input!D6, "")</f>
        <v/>
      </c>
      <c r="E7" t="str">
        <f>IFERROR((Input!E7-Input!E6)/Input!E6, "")</f>
        <v/>
      </c>
      <c r="F7" t="str">
        <f>IFERROR((Input!F7-Input!F6)/Input!F6, "")</f>
        <v/>
      </c>
      <c r="G7" t="str">
        <f>IFERROR((Input!G7-Input!G6)/Input!G6, "")</f>
        <v/>
      </c>
      <c r="H7" t="str">
        <f>IFERROR((Input!H7-Input!H6)/Input!H6, "")</f>
        <v/>
      </c>
      <c r="I7">
        <f>IFERROR((Input!I7-Input!I6)/Input!I6, "")</f>
        <v>-3.4914169333721316E-2</v>
      </c>
      <c r="J7">
        <f>IFERROR((Input!J7-Input!J6)/Input!J6, "")</f>
        <v>-1.3360507246376729E-2</v>
      </c>
      <c r="K7">
        <f>IFERROR((Input!K7-Input!K6)/Input!K6, "")</f>
        <v>6.9859535098467746E-3</v>
      </c>
    </row>
    <row r="8" spans="1:11" x14ac:dyDescent="0.2">
      <c r="A8">
        <f>Input!A8</f>
        <v>44044</v>
      </c>
      <c r="B8" t="str">
        <f>IFERROR((Input!B8-Input!B7)/Input!B7, "")</f>
        <v/>
      </c>
      <c r="C8" t="str">
        <f>IFERROR((Input!C8-Input!C7)/Input!C7, "")</f>
        <v/>
      </c>
      <c r="D8" t="str">
        <f>IFERROR((Input!D8-Input!D7)/Input!D7, "")</f>
        <v/>
      </c>
      <c r="E8" t="str">
        <f>IFERROR((Input!E8-Input!E7)/Input!E7, "")</f>
        <v/>
      </c>
      <c r="F8" t="str">
        <f>IFERROR((Input!F8-Input!F7)/Input!F7, "")</f>
        <v/>
      </c>
      <c r="G8" t="str">
        <f>IFERROR((Input!G8-Input!G7)/Input!G7, "")</f>
        <v/>
      </c>
      <c r="H8" t="str">
        <f>IFERROR((Input!H8-Input!H7)/Input!H7, "")</f>
        <v/>
      </c>
      <c r="I8">
        <f>IFERROR((Input!I8-Input!I7)/Input!I7, "")</f>
        <v>-1.291714014053476E-2</v>
      </c>
      <c r="J8">
        <f>IFERROR((Input!J8-Input!J7)/Input!J7, "")</f>
        <v>3.5115905439522636E-2</v>
      </c>
      <c r="K8">
        <f>IFERROR((Input!K8-Input!K7)/Input!K7, "")</f>
        <v>4.7966367112001144E-3</v>
      </c>
    </row>
    <row r="9" spans="1:11" x14ac:dyDescent="0.2">
      <c r="A9">
        <f>Input!A9</f>
        <v>44075</v>
      </c>
      <c r="B9" t="str">
        <f>IFERROR((Input!B9-Input!B8)/Input!B8, "")</f>
        <v/>
      </c>
      <c r="C9" t="str">
        <f>IFERROR((Input!C9-Input!C8)/Input!C8, "")</f>
        <v/>
      </c>
      <c r="D9" t="str">
        <f>IFERROR((Input!D9-Input!D8)/Input!D8, "")</f>
        <v/>
      </c>
      <c r="E9" t="str">
        <f>IFERROR((Input!E9-Input!E8)/Input!E8, "")</f>
        <v/>
      </c>
      <c r="F9" t="str">
        <f>IFERROR((Input!F9-Input!F8)/Input!F8, "")</f>
        <v/>
      </c>
      <c r="G9" t="str">
        <f>IFERROR((Input!G9-Input!G8)/Input!G8, "")</f>
        <v/>
      </c>
      <c r="H9" t="str">
        <f>IFERROR((Input!H9-Input!H8)/Input!H8, "")</f>
        <v/>
      </c>
      <c r="I9">
        <f>IFERROR((Input!I9-Input!I8)/Input!I8, "")</f>
        <v>-6.3198947467343241E-3</v>
      </c>
      <c r="J9">
        <f>IFERROR((Input!J9-Input!J8)/Input!J8, "")</f>
        <v>-0.10221729490022172</v>
      </c>
      <c r="K9">
        <f>IFERROR((Input!K9-Input!K8)/Input!K8, "")</f>
        <v>1.8287631804332998E-3</v>
      </c>
    </row>
    <row r="10" spans="1:11" x14ac:dyDescent="0.2">
      <c r="A10">
        <f>Input!A10</f>
        <v>44105</v>
      </c>
      <c r="B10" t="str">
        <f>IFERROR((Input!B10-Input!B9)/Input!B9, "")</f>
        <v/>
      </c>
      <c r="C10" t="str">
        <f>IFERROR((Input!C10-Input!C9)/Input!C9, "")</f>
        <v/>
      </c>
      <c r="D10" t="str">
        <f>IFERROR((Input!D10-Input!D9)/Input!D9, "")</f>
        <v/>
      </c>
      <c r="E10" t="str">
        <f>IFERROR((Input!E10-Input!E9)/Input!E9, "")</f>
        <v/>
      </c>
      <c r="F10" t="str">
        <f>IFERROR((Input!F10-Input!F9)/Input!F9, "")</f>
        <v/>
      </c>
      <c r="G10" t="str">
        <f>IFERROR((Input!G10-Input!G9)/Input!G9, "")</f>
        <v/>
      </c>
      <c r="H10" t="str">
        <f>IFERROR((Input!H10-Input!H9)/Input!H9, "")</f>
        <v/>
      </c>
      <c r="I10">
        <f>IFERROR((Input!I10-Input!I9)/Input!I9, "")</f>
        <v>-2.1279111006028543E-3</v>
      </c>
      <c r="J10">
        <f>IFERROR((Input!J10-Input!J9)/Input!J9, "")</f>
        <v>-8.323042726599171E-2</v>
      </c>
      <c r="K10">
        <f>IFERROR((Input!K10-Input!K9)/Input!K9, "")</f>
        <v>-1.8219212159221261E-4</v>
      </c>
    </row>
    <row r="11" spans="1:11" x14ac:dyDescent="0.2">
      <c r="A11">
        <f>Input!A11</f>
        <v>44136</v>
      </c>
      <c r="B11" t="str">
        <f>IFERROR((Input!B11-Input!B10)/Input!B10, "")</f>
        <v/>
      </c>
      <c r="C11" t="str">
        <f>IFERROR((Input!C11-Input!C10)/Input!C10, "")</f>
        <v/>
      </c>
      <c r="D11" t="str">
        <f>IFERROR((Input!D11-Input!D10)/Input!D10, "")</f>
        <v/>
      </c>
      <c r="E11" t="str">
        <f>IFERROR((Input!E11-Input!E10)/Input!E10, "")</f>
        <v/>
      </c>
      <c r="F11" t="str">
        <f>IFERROR((Input!F11-Input!F10)/Input!F10, "")</f>
        <v/>
      </c>
      <c r="G11" t="str">
        <f>IFERROR((Input!G11-Input!G10)/Input!G10, "")</f>
        <v/>
      </c>
      <c r="H11" t="str">
        <f>IFERROR((Input!H11-Input!H10)/Input!H10, "")</f>
        <v/>
      </c>
      <c r="I11">
        <f>IFERROR((Input!I11-Input!I10)/Input!I10, "")</f>
        <v>-3.459305769458681E-3</v>
      </c>
      <c r="J11">
        <f>IFERROR((Input!J11-Input!J10)/Input!J10, "")</f>
        <v>0.2640086206896553</v>
      </c>
      <c r="K11">
        <f>IFERROR((Input!K11-Input!K10)/Input!K10, "")</f>
        <v>-1.2790815843791165E-3</v>
      </c>
    </row>
    <row r="12" spans="1:11" x14ac:dyDescent="0.2">
      <c r="A12">
        <f>Input!A12</f>
        <v>44166</v>
      </c>
      <c r="B12" t="str">
        <f>IFERROR((Input!B12-Input!B11)/Input!B11, "")</f>
        <v/>
      </c>
      <c r="C12" t="str">
        <f>IFERROR((Input!C12-Input!C11)/Input!C11, "")</f>
        <v/>
      </c>
      <c r="D12" t="str">
        <f>IFERROR((Input!D12-Input!D11)/Input!D11, "")</f>
        <v/>
      </c>
      <c r="E12" t="str">
        <f>IFERROR((Input!E12-Input!E11)/Input!E11, "")</f>
        <v/>
      </c>
      <c r="F12" t="str">
        <f>IFERROR((Input!F12-Input!F11)/Input!F11, "")</f>
        <v/>
      </c>
      <c r="G12" t="str">
        <f>IFERROR((Input!G12-Input!G11)/Input!G11, "")</f>
        <v/>
      </c>
      <c r="H12" t="str">
        <f>IFERROR((Input!H12-Input!H11)/Input!H11, "")</f>
        <v/>
      </c>
      <c r="I12">
        <f>IFERROR((Input!I12-Input!I11)/Input!I11, "")</f>
        <v>1.2363584488457612E-3</v>
      </c>
      <c r="J12">
        <f>IFERROR((Input!J12-Input!J11)/Input!J11, "")</f>
        <v>8.6317135549872054E-2</v>
      </c>
      <c r="K12">
        <f>IFERROR((Input!K12-Input!K11)/Input!K11, "")</f>
        <v>-1.5087931058675781E-4</v>
      </c>
    </row>
    <row r="13" spans="1:11" x14ac:dyDescent="0.2">
      <c r="A13">
        <f>Input!A13</f>
        <v>44197</v>
      </c>
      <c r="B13" t="str">
        <f>IFERROR((Input!B13-Input!B12)/Input!B12, "")</f>
        <v/>
      </c>
      <c r="C13" t="str">
        <f>IFERROR((Input!C13-Input!C12)/Input!C12, "")</f>
        <v/>
      </c>
      <c r="D13" t="str">
        <f>IFERROR((Input!D13-Input!D12)/Input!D12, "")</f>
        <v/>
      </c>
      <c r="E13" t="str">
        <f>IFERROR((Input!E13-Input!E12)/Input!E12, "")</f>
        <v/>
      </c>
      <c r="F13" t="str">
        <f>IFERROR((Input!F13-Input!F12)/Input!F12, "")</f>
        <v/>
      </c>
      <c r="G13" t="str">
        <f>IFERROR((Input!G13-Input!G12)/Input!G12, "")</f>
        <v/>
      </c>
      <c r="H13" t="str">
        <f>IFERROR((Input!H13-Input!H12)/Input!H12, "")</f>
        <v/>
      </c>
      <c r="I13">
        <f>IFERROR((Input!I13-Input!I12)/Input!I12, "")</f>
        <v>0.10545938115931697</v>
      </c>
      <c r="J13">
        <f>IFERROR((Input!J13-Input!J12)/Input!J12, "")</f>
        <v>9.4957818324504686E-2</v>
      </c>
      <c r="K13">
        <f>IFERROR((Input!K13-Input!K12)/Input!K12, "")</f>
        <v>1.0528051994529874E-4</v>
      </c>
    </row>
    <row r="14" spans="1:11" x14ac:dyDescent="0.2">
      <c r="A14">
        <f>Input!A14</f>
        <v>44228</v>
      </c>
      <c r="B14" t="str">
        <f>IFERROR((Input!B14-Input!B13)/Input!B13, "")</f>
        <v/>
      </c>
      <c r="C14" t="str">
        <f>IFERROR((Input!C14-Input!C13)/Input!C13, "")</f>
        <v/>
      </c>
      <c r="D14" t="str">
        <f>IFERROR((Input!D14-Input!D13)/Input!D13, "")</f>
        <v/>
      </c>
      <c r="E14" t="str">
        <f>IFERROR((Input!E14-Input!E13)/Input!E13, "")</f>
        <v/>
      </c>
      <c r="F14" t="str">
        <f>IFERROR((Input!F14-Input!F13)/Input!F13, "")</f>
        <v/>
      </c>
      <c r="G14" t="str">
        <f>IFERROR((Input!G14-Input!G13)/Input!G13, "")</f>
        <v/>
      </c>
      <c r="H14" t="str">
        <f>IFERROR((Input!H14-Input!H13)/Input!H13, "")</f>
        <v/>
      </c>
      <c r="I14">
        <f>IFERROR((Input!I14-Input!I13)/Input!I13, "")</f>
        <v>3.0933150025777699E-2</v>
      </c>
      <c r="J14">
        <f>IFERROR((Input!J14-Input!J13)/Input!J13, "")</f>
        <v>0.16323239562802364</v>
      </c>
      <c r="K14">
        <f>IFERROR((Input!K14-Input!K13)/Input!K13, "")</f>
        <v>-5.6143699799586112E-5</v>
      </c>
    </row>
    <row r="15" spans="1:11" x14ac:dyDescent="0.2">
      <c r="A15">
        <f>Input!A15</f>
        <v>44256</v>
      </c>
      <c r="B15" t="str">
        <f>IFERROR((Input!B15-Input!B14)/Input!B14, "")</f>
        <v/>
      </c>
      <c r="C15" t="str">
        <f>IFERROR((Input!C15-Input!C14)/Input!C14, "")</f>
        <v/>
      </c>
      <c r="D15" t="str">
        <f>IFERROR((Input!D15-Input!D14)/Input!D14, "")</f>
        <v/>
      </c>
      <c r="E15" t="str">
        <f>IFERROR((Input!E15-Input!E14)/Input!E14, "")</f>
        <v/>
      </c>
      <c r="F15" t="str">
        <f>IFERROR((Input!F15-Input!F14)/Input!F14, "")</f>
        <v/>
      </c>
      <c r="G15" t="str">
        <f>IFERROR((Input!G15-Input!G14)/Input!G14, "")</f>
        <v/>
      </c>
      <c r="H15" t="str">
        <f>IFERROR((Input!H15-Input!H14)/Input!H14, "")</f>
        <v/>
      </c>
      <c r="I15">
        <f>IFERROR((Input!I15-Input!I14)/Input!I14, "")</f>
        <v>3.3734789131521913E-2</v>
      </c>
      <c r="J15">
        <f>IFERROR((Input!J15-Input!J14)/Input!J14, "")</f>
        <v>-5.0677757239679593E-2</v>
      </c>
      <c r="K15">
        <f>IFERROR((Input!K15-Input!K14)/Input!K14, "")</f>
        <v>-1.7545891278703113E-5</v>
      </c>
    </row>
    <row r="16" spans="1:11" x14ac:dyDescent="0.2">
      <c r="A16">
        <f>Input!A16</f>
        <v>44287</v>
      </c>
      <c r="B16" t="str">
        <f>IFERROR((Input!B16-Input!B15)/Input!B15, "")</f>
        <v/>
      </c>
      <c r="C16" t="str">
        <f>IFERROR((Input!C16-Input!C15)/Input!C15, "")</f>
        <v/>
      </c>
      <c r="D16" t="str">
        <f>IFERROR((Input!D16-Input!D15)/Input!D15, "")</f>
        <v/>
      </c>
      <c r="E16" t="str">
        <f>IFERROR((Input!E16-Input!E15)/Input!E15, "")</f>
        <v/>
      </c>
      <c r="F16" t="str">
        <f>IFERROR((Input!F16-Input!F15)/Input!F15, "")</f>
        <v/>
      </c>
      <c r="G16" t="str">
        <f>IFERROR((Input!G16-Input!G15)/Input!G15, "")</f>
        <v/>
      </c>
      <c r="H16" t="str">
        <f>IFERROR((Input!H16-Input!H15)/Input!H15, "")</f>
        <v/>
      </c>
      <c r="I16">
        <f>IFERROR((Input!I16-Input!I15)/Input!I15, "")</f>
        <v>2.2535324827155281E-2</v>
      </c>
      <c r="J16">
        <f>IFERROR((Input!J16-Input!J15)/Input!J15, "")</f>
        <v>6.5877007950673291E-2</v>
      </c>
      <c r="K16">
        <f>IFERROR((Input!K16-Input!K15)/Input!K15, "")</f>
        <v>9.8258715197184225E-5</v>
      </c>
    </row>
    <row r="17" spans="1:11" x14ac:dyDescent="0.2">
      <c r="A17">
        <f>Input!A17</f>
        <v>44317</v>
      </c>
      <c r="B17" t="str">
        <f>IFERROR((Input!B17-Input!B16)/Input!B16, "")</f>
        <v/>
      </c>
      <c r="C17" t="str">
        <f>IFERROR((Input!C17-Input!C16)/Input!C16, "")</f>
        <v/>
      </c>
      <c r="D17" t="str">
        <f>IFERROR((Input!D17-Input!D16)/Input!D16, "")</f>
        <v/>
      </c>
      <c r="E17" t="str">
        <f>IFERROR((Input!E17-Input!E16)/Input!E16, "")</f>
        <v/>
      </c>
      <c r="F17" t="str">
        <f>IFERROR((Input!F17-Input!F16)/Input!F16, "")</f>
        <v/>
      </c>
      <c r="G17" t="str">
        <f>IFERROR((Input!G17-Input!G16)/Input!G16, "")</f>
        <v/>
      </c>
      <c r="H17" t="str">
        <f>IFERROR((Input!H17-Input!H16)/Input!H16, "")</f>
        <v/>
      </c>
      <c r="I17">
        <f>IFERROR((Input!I17-Input!I16)/Input!I16, "")</f>
        <v>1.0506810699994054E-2</v>
      </c>
      <c r="J17">
        <f>IFERROR((Input!J17-Input!J16)/Input!J16, "")</f>
        <v>3.1207185264119305E-2</v>
      </c>
      <c r="K17">
        <f>IFERROR((Input!K17-Input!K16)/Input!K16, "")</f>
        <v>-1.2632022176221178E-4</v>
      </c>
    </row>
    <row r="18" spans="1:11" x14ac:dyDescent="0.2">
      <c r="A18">
        <f>Input!A18</f>
        <v>44348</v>
      </c>
      <c r="B18" t="str">
        <f>IFERROR((Input!B18-Input!B17)/Input!B17, "")</f>
        <v/>
      </c>
      <c r="C18" t="str">
        <f>IFERROR((Input!C18-Input!C17)/Input!C17, "")</f>
        <v/>
      </c>
      <c r="D18" t="str">
        <f>IFERROR((Input!D18-Input!D17)/Input!D17, "")</f>
        <v/>
      </c>
      <c r="E18" t="str">
        <f>IFERROR((Input!E18-Input!E17)/Input!E17, "")</f>
        <v/>
      </c>
      <c r="F18" t="str">
        <f>IFERROR((Input!F18-Input!F17)/Input!F17, "")</f>
        <v/>
      </c>
      <c r="G18" t="str">
        <f>IFERROR((Input!G18-Input!G17)/Input!G17, "")</f>
        <v/>
      </c>
      <c r="H18" t="str">
        <f>IFERROR((Input!H18-Input!H17)/Input!H17, "")</f>
        <v/>
      </c>
      <c r="I18">
        <f>IFERROR((Input!I18-Input!I17)/Input!I17, "")</f>
        <v>1.8454215598299007E-2</v>
      </c>
      <c r="J18">
        <f>IFERROR((Input!J18-Input!J17)/Input!J17, "")</f>
        <v>0.10584588131089463</v>
      </c>
      <c r="K18">
        <f>IFERROR((Input!K18-Input!K17)/Input!K17, "")</f>
        <v>-1.6142956407000302E-4</v>
      </c>
    </row>
    <row r="19" spans="1:11" x14ac:dyDescent="0.2">
      <c r="A19">
        <f>Input!A19</f>
        <v>44378</v>
      </c>
      <c r="B19" t="str">
        <f>IFERROR((Input!B19-Input!B18)/Input!B18, "")</f>
        <v/>
      </c>
      <c r="C19" t="str">
        <f>IFERROR((Input!C19-Input!C18)/Input!C18, "")</f>
        <v/>
      </c>
      <c r="D19" t="str">
        <f>IFERROR((Input!D19-Input!D18)/Input!D18, "")</f>
        <v/>
      </c>
      <c r="E19" t="str">
        <f>IFERROR((Input!E19-Input!E18)/Input!E18, "")</f>
        <v/>
      </c>
      <c r="F19" t="str">
        <f>IFERROR((Input!F19-Input!F18)/Input!F18, "")</f>
        <v/>
      </c>
      <c r="G19" t="str">
        <f>IFERROR((Input!G19-Input!G18)/Input!G18, "")</f>
        <v/>
      </c>
      <c r="H19" t="str">
        <f>IFERROR((Input!H19-Input!H18)/Input!H18, "")</f>
        <v/>
      </c>
      <c r="I19">
        <f>IFERROR((Input!I19-Input!I18)/Input!I18, "")</f>
        <v>2.2774287465522496E-2</v>
      </c>
      <c r="J19">
        <f>IFERROR((Input!J19-Input!J18)/Input!J18, "")</f>
        <v>-1.2548391403016924E-2</v>
      </c>
      <c r="K19">
        <f>IFERROR((Input!K19-Input!K18)/Input!K18, "")</f>
        <v>-4.9138669324789992E-5</v>
      </c>
    </row>
    <row r="20" spans="1:11" x14ac:dyDescent="0.2">
      <c r="A20">
        <f>Input!A20</f>
        <v>44409</v>
      </c>
      <c r="B20" t="str">
        <f>IFERROR((Input!B20-Input!B19)/Input!B19, "")</f>
        <v/>
      </c>
      <c r="C20" t="str">
        <f>IFERROR((Input!C20-Input!C19)/Input!C19, "")</f>
        <v/>
      </c>
      <c r="D20" t="str">
        <f>IFERROR((Input!D20-Input!D19)/Input!D19, "")</f>
        <v/>
      </c>
      <c r="E20" t="str">
        <f>IFERROR((Input!E20-Input!E19)/Input!E19, "")</f>
        <v/>
      </c>
      <c r="F20" t="str">
        <f>IFERROR((Input!F20-Input!F19)/Input!F19, "")</f>
        <v/>
      </c>
      <c r="G20" t="str">
        <f>IFERROR((Input!G20-Input!G19)/Input!G19, "")</f>
        <v/>
      </c>
      <c r="H20" t="str">
        <f>IFERROR((Input!H20-Input!H19)/Input!H19, "")</f>
        <v/>
      </c>
      <c r="I20">
        <f>IFERROR((Input!I20-Input!I19)/Input!I19, "")</f>
        <v>1.9401839054628563E-2</v>
      </c>
      <c r="J20">
        <f>IFERROR((Input!J20-Input!J19)/Input!J19, "")</f>
        <v>-4.1773692037312474E-2</v>
      </c>
      <c r="K20">
        <f>IFERROR((Input!K20-Input!K19)/Input!K19, "")</f>
        <v>-3.8610851755434417E-5</v>
      </c>
    </row>
    <row r="21" spans="1:11" x14ac:dyDescent="0.2">
      <c r="A21">
        <f>Input!A21</f>
        <v>44440</v>
      </c>
      <c r="B21" t="str">
        <f>IFERROR((Input!B21-Input!B20)/Input!B20, "")</f>
        <v/>
      </c>
      <c r="C21" t="str">
        <f>IFERROR((Input!C21-Input!C20)/Input!C20, "")</f>
        <v/>
      </c>
      <c r="D21" t="str">
        <f>IFERROR((Input!D21-Input!D20)/Input!D20, "")</f>
        <v/>
      </c>
      <c r="E21" t="str">
        <f>IFERROR((Input!E21-Input!E20)/Input!E20, "")</f>
        <v/>
      </c>
      <c r="F21" t="str">
        <f>IFERROR((Input!F21-Input!F20)/Input!F20, "")</f>
        <v/>
      </c>
      <c r="G21" t="str">
        <f>IFERROR((Input!G21-Input!G20)/Input!G20, "")</f>
        <v/>
      </c>
      <c r="H21" t="str">
        <f>IFERROR((Input!H21-Input!H20)/Input!H20, "")</f>
        <v/>
      </c>
      <c r="I21">
        <f>IFERROR((Input!I21-Input!I20)/Input!I20, "")</f>
        <v>1.0379732882626306E-2</v>
      </c>
      <c r="J21">
        <f>IFERROR((Input!J21-Input!J20)/Input!J20, "")</f>
        <v>7.0259593679458304E-2</v>
      </c>
      <c r="K21">
        <f>IFERROR((Input!K21-Input!K20)/Input!K20, "")</f>
        <v>1.0530638893931926E-5</v>
      </c>
    </row>
    <row r="22" spans="1:11" x14ac:dyDescent="0.2">
      <c r="A22">
        <f>Input!A22</f>
        <v>44470</v>
      </c>
      <c r="B22" t="str">
        <f>IFERROR((Input!B22-Input!B21)/Input!B21, "")</f>
        <v/>
      </c>
      <c r="C22" t="str">
        <f>IFERROR((Input!C22-Input!C21)/Input!C21, "")</f>
        <v/>
      </c>
      <c r="D22" t="str">
        <f>IFERROR((Input!D22-Input!D21)/Input!D21, "")</f>
        <v/>
      </c>
      <c r="E22" t="str">
        <f>IFERROR((Input!E22-Input!E21)/Input!E21, "")</f>
        <v/>
      </c>
      <c r="F22" t="str">
        <f>IFERROR((Input!F22-Input!F21)/Input!F21, "")</f>
        <v/>
      </c>
      <c r="G22" t="str">
        <f>IFERROR((Input!G22-Input!G21)/Input!G21, "")</f>
        <v/>
      </c>
      <c r="H22" t="str">
        <f>IFERROR((Input!H22-Input!H21)/Input!H21, "")</f>
        <v/>
      </c>
      <c r="I22">
        <f>IFERROR((Input!I22-Input!I21)/Input!I21, "")</f>
        <v>1.7764282337539513E-2</v>
      </c>
      <c r="J22">
        <f>IFERROR((Input!J22-Input!J21)/Input!J21, "")</f>
        <v>8.2256788821513244E-2</v>
      </c>
      <c r="K22">
        <f>IFERROR((Input!K22-Input!K21)/Input!K21, "")</f>
        <v>1.4040704000885834E-5</v>
      </c>
    </row>
    <row r="23" spans="1:11" x14ac:dyDescent="0.2">
      <c r="A23">
        <f>Input!A23</f>
        <v>44501</v>
      </c>
      <c r="B23" t="str">
        <f>IFERROR((Input!B23-Input!B22)/Input!B22, "")</f>
        <v/>
      </c>
      <c r="C23" t="str">
        <f>IFERROR((Input!C23-Input!C22)/Input!C22, "")</f>
        <v/>
      </c>
      <c r="D23" t="str">
        <f>IFERROR((Input!D23-Input!D22)/Input!D22, "")</f>
        <v/>
      </c>
      <c r="E23" t="str">
        <f>IFERROR((Input!E23-Input!E22)/Input!E22, "")</f>
        <v/>
      </c>
      <c r="F23" t="str">
        <f>IFERROR((Input!F23-Input!F22)/Input!F22, "")</f>
        <v/>
      </c>
      <c r="G23" t="str">
        <f>IFERROR((Input!G23-Input!G22)/Input!G22, "")</f>
        <v/>
      </c>
      <c r="H23" t="str">
        <f>IFERROR((Input!H23-Input!H22)/Input!H22, "")</f>
        <v/>
      </c>
      <c r="I23">
        <f>IFERROR((Input!I23-Input!I22)/Input!I22, "")</f>
        <v>2.9263063867798117E-2</v>
      </c>
      <c r="J23">
        <f>IFERROR((Input!J23-Input!J22)/Input!J22, "")</f>
        <v>-0.1554202192448233</v>
      </c>
      <c r="K23">
        <f>IFERROR((Input!K23-Input!K22)/Input!K22, "")</f>
        <v>3.1591140440061344E-5</v>
      </c>
    </row>
    <row r="24" spans="1:11" x14ac:dyDescent="0.2">
      <c r="A24">
        <f>Input!A24</f>
        <v>44531</v>
      </c>
      <c r="B24" t="str">
        <f>IFERROR((Input!B24-Input!B23)/Input!B23, "")</f>
        <v/>
      </c>
      <c r="C24" t="str">
        <f>IFERROR((Input!C24-Input!C23)/Input!C23, "")</f>
        <v/>
      </c>
      <c r="D24" t="str">
        <f>IFERROR((Input!D24-Input!D23)/Input!D23, "")</f>
        <v/>
      </c>
      <c r="E24" t="str">
        <f>IFERROR((Input!E24-Input!E23)/Input!E23, "")</f>
        <v/>
      </c>
      <c r="F24" t="str">
        <f>IFERROR((Input!F24-Input!F23)/Input!F23, "")</f>
        <v/>
      </c>
      <c r="G24" t="str">
        <f>IFERROR((Input!G24-Input!G23)/Input!G23, "")</f>
        <v/>
      </c>
      <c r="H24" t="str">
        <f>IFERROR((Input!H24-Input!H23)/Input!H23, "")</f>
        <v/>
      </c>
      <c r="I24">
        <f>IFERROR((Input!I24-Input!I23)/Input!I23, "")</f>
        <v>3.5721104611806435E-2</v>
      </c>
      <c r="J24">
        <f>IFERROR((Input!J24-Input!J23)/Input!J23, "")</f>
        <v>0.10758580905682136</v>
      </c>
      <c r="K24">
        <f>IFERROR((Input!K24-Input!K23)/Input!K23, "")</f>
        <v>-3.1590142471434011E-5</v>
      </c>
    </row>
    <row r="25" spans="1:11" x14ac:dyDescent="0.2">
      <c r="A25">
        <f>Input!A25</f>
        <v>44562</v>
      </c>
      <c r="B25" t="str">
        <f>IFERROR((Input!B25-Input!B24)/Input!B24, "")</f>
        <v/>
      </c>
      <c r="C25" t="str">
        <f>IFERROR((Input!C25-Input!C24)/Input!C24, "")</f>
        <v/>
      </c>
      <c r="D25" t="str">
        <f>IFERROR((Input!D25-Input!D24)/Input!D24, "")</f>
        <v/>
      </c>
      <c r="E25" t="str">
        <f>IFERROR((Input!E25-Input!E24)/Input!E24, "")</f>
        <v/>
      </c>
      <c r="F25" t="str">
        <f>IFERROR((Input!F25-Input!F24)/Input!F24, "")</f>
        <v/>
      </c>
      <c r="G25" t="str">
        <f>IFERROR((Input!G25-Input!G24)/Input!G24, "")</f>
        <v/>
      </c>
      <c r="H25" t="str">
        <f>IFERROR((Input!H25-Input!H24)/Input!H24, "")</f>
        <v/>
      </c>
      <c r="I25">
        <f>IFERROR((Input!I25-Input!I24)/Input!I24, "")</f>
        <v>0.23924519448308221</v>
      </c>
      <c r="J25">
        <f>IFERROR((Input!J25-Input!J24)/Input!J24, "")</f>
        <v>0.19843750000000013</v>
      </c>
      <c r="K25">
        <f>IFERROR((Input!K25-Input!K24)/Input!K24, "")</f>
        <v>1.8252658920986408E-4</v>
      </c>
    </row>
    <row r="26" spans="1:11" x14ac:dyDescent="0.2">
      <c r="A26">
        <f>Input!A26</f>
        <v>44593</v>
      </c>
      <c r="B26" t="str">
        <f>IFERROR((Input!B26-Input!B25)/Input!B25, "")</f>
        <v/>
      </c>
      <c r="C26" t="str">
        <f>IFERROR((Input!C26-Input!C25)/Input!C25, "")</f>
        <v/>
      </c>
      <c r="D26" t="str">
        <f>IFERROR((Input!D26-Input!D25)/Input!D25, "")</f>
        <v/>
      </c>
      <c r="E26" t="str">
        <f>IFERROR((Input!E26-Input!E25)/Input!E25, "")</f>
        <v/>
      </c>
      <c r="F26" t="str">
        <f>IFERROR((Input!F26-Input!F25)/Input!F25, "")</f>
        <v/>
      </c>
      <c r="G26" t="str">
        <f>IFERROR((Input!G26-Input!G25)/Input!G25, "")</f>
        <v/>
      </c>
      <c r="H26" t="str">
        <f>IFERROR((Input!H26-Input!H25)/Input!H25, "")</f>
        <v/>
      </c>
      <c r="I26">
        <f>IFERROR((Input!I26-Input!I25)/Input!I25, "")</f>
        <v>-8.249151419259924E-4</v>
      </c>
      <c r="J26">
        <f>IFERROR((Input!J26-Input!J25)/Input!J25, "")</f>
        <v>2.4337244676227669E-2</v>
      </c>
      <c r="K26">
        <f>IFERROR((Input!K26-Input!K25)/Input!K25, "")</f>
        <v>2.5163015631251527E-3</v>
      </c>
    </row>
    <row r="27" spans="1:11" x14ac:dyDescent="0.2">
      <c r="A27">
        <f>Input!A27</f>
        <v>44621</v>
      </c>
      <c r="B27" t="str">
        <f>IFERROR((Input!B27-Input!B26)/Input!B26, "")</f>
        <v/>
      </c>
      <c r="C27" t="str">
        <f>IFERROR((Input!C27-Input!C26)/Input!C26, "")</f>
        <v/>
      </c>
      <c r="D27" t="str">
        <f>IFERROR((Input!D27-Input!D26)/Input!D26, "")</f>
        <v/>
      </c>
      <c r="E27" t="str">
        <f>IFERROR((Input!E27-Input!E26)/Input!E26, "")</f>
        <v/>
      </c>
      <c r="F27" t="str">
        <f>IFERROR((Input!F27-Input!F26)/Input!F26, "")</f>
        <v/>
      </c>
      <c r="G27" t="str">
        <f>IFERROR((Input!G27-Input!G26)/Input!G26, "")</f>
        <v/>
      </c>
      <c r="H27" t="str">
        <f>IFERROR((Input!H27-Input!H26)/Input!H26, "")</f>
        <v/>
      </c>
      <c r="I27">
        <f>IFERROR((Input!I27-Input!I26)/Input!I26, "")</f>
        <v>3.1156105351487402E-2</v>
      </c>
      <c r="J27">
        <f>IFERROR((Input!J27-Input!J26)/Input!J26, "")</f>
        <v>-0.1205982180738227</v>
      </c>
      <c r="K27">
        <f>IFERROR((Input!K27-Input!K26)/Input!K26, "")</f>
        <v>1.5206942543382163E-2</v>
      </c>
    </row>
    <row r="28" spans="1:11" x14ac:dyDescent="0.2">
      <c r="A28">
        <f>Input!A28</f>
        <v>44652</v>
      </c>
      <c r="B28" t="str">
        <f>IFERROR((Input!B28-Input!B27)/Input!B27, "")</f>
        <v/>
      </c>
      <c r="C28" t="str">
        <f>IFERROR((Input!C28-Input!C27)/Input!C27, "")</f>
        <v/>
      </c>
      <c r="D28" t="str">
        <f>IFERROR((Input!D28-Input!D27)/Input!D27, "")</f>
        <v/>
      </c>
      <c r="E28" t="str">
        <f>IFERROR((Input!E28-Input!E27)/Input!E27, "")</f>
        <v/>
      </c>
      <c r="F28" t="str">
        <f>IFERROR((Input!F28-Input!F27)/Input!F27, "")</f>
        <v/>
      </c>
      <c r="G28" t="str">
        <f>IFERROR((Input!G28-Input!G27)/Input!G27, "")</f>
        <v/>
      </c>
      <c r="H28" t="str">
        <f>IFERROR((Input!H28-Input!H27)/Input!H27, "")</f>
        <v/>
      </c>
      <c r="I28">
        <f>IFERROR((Input!I28-Input!I27)/Input!I27, "")</f>
        <v>4.4902084317740378E-2</v>
      </c>
      <c r="J28">
        <f>IFERROR((Input!J28-Input!J27)/Input!J27, "")</f>
        <v>-4.2214449402967077E-2</v>
      </c>
      <c r="K28">
        <f>IFERROR((Input!K28-Input!K27)/Input!K27, "")</f>
        <v>4.7951228090743869E-2</v>
      </c>
    </row>
    <row r="29" spans="1:11" x14ac:dyDescent="0.2">
      <c r="A29">
        <f>Input!A29</f>
        <v>44682</v>
      </c>
      <c r="B29" t="str">
        <f>IFERROR((Input!B29-Input!B28)/Input!B28, "")</f>
        <v/>
      </c>
      <c r="C29" t="str">
        <f>IFERROR((Input!C29-Input!C28)/Input!C28, "")</f>
        <v/>
      </c>
      <c r="D29" t="str">
        <f>IFERROR((Input!D29-Input!D28)/Input!D28, "")</f>
        <v/>
      </c>
      <c r="E29" t="str">
        <f>IFERROR((Input!E29-Input!E28)/Input!E28, "")</f>
        <v/>
      </c>
      <c r="F29" t="str">
        <f>IFERROR((Input!F29-Input!F28)/Input!F28, "")</f>
        <v/>
      </c>
      <c r="G29" t="str">
        <f>IFERROR((Input!G29-Input!G28)/Input!G28, "")</f>
        <v/>
      </c>
      <c r="H29" t="str">
        <f>IFERROR((Input!H29-Input!H28)/Input!H28, "")</f>
        <v/>
      </c>
      <c r="I29">
        <f>IFERROR((Input!I29-Input!I28)/Input!I28, "")</f>
        <v>5.7355324146767285E-2</v>
      </c>
      <c r="J29">
        <f>IFERROR((Input!J29-Input!J28)/Input!J28, "")</f>
        <v>0.2344792847248458</v>
      </c>
      <c r="K29">
        <f>IFERROR((Input!K29-Input!K28)/Input!K28, "")</f>
        <v>2.3375418299556763E-2</v>
      </c>
    </row>
    <row r="30" spans="1:11" x14ac:dyDescent="0.2">
      <c r="A30">
        <f>Input!A30</f>
        <v>44713</v>
      </c>
      <c r="B30" t="str">
        <f>IFERROR((Input!B30-Input!B29)/Input!B29, "")</f>
        <v/>
      </c>
      <c r="C30" t="str">
        <f>IFERROR((Input!C30-Input!C29)/Input!C29, "")</f>
        <v/>
      </c>
      <c r="D30" t="str">
        <f>IFERROR((Input!D30-Input!D29)/Input!D29, "")</f>
        <v/>
      </c>
      <c r="E30" t="str">
        <f>IFERROR((Input!E30-Input!E29)/Input!E29, "")</f>
        <v/>
      </c>
      <c r="F30" t="str">
        <f>IFERROR((Input!F30-Input!F29)/Input!F29, "")</f>
        <v/>
      </c>
      <c r="G30" t="str">
        <f>IFERROR((Input!G30-Input!G29)/Input!G29, "")</f>
        <v/>
      </c>
      <c r="H30" t="str">
        <f>IFERROR((Input!H30-Input!H29)/Input!H29, "")</f>
        <v/>
      </c>
      <c r="I30">
        <f>IFERROR((Input!I30-Input!I29)/Input!I29, "")</f>
        <v>5.6679536679536721E-2</v>
      </c>
      <c r="J30">
        <f>IFERROR((Input!J30-Input!J29)/Input!J29, "")</f>
        <v>-7.1814750586555204E-2</v>
      </c>
      <c r="K30">
        <f>IFERROR((Input!K30-Input!K29)/Input!K29, "")</f>
        <v>4.3599463688012863E-3</v>
      </c>
    </row>
    <row r="31" spans="1:11" x14ac:dyDescent="0.2">
      <c r="A31">
        <f>Input!A31</f>
        <v>44743</v>
      </c>
      <c r="B31" t="str">
        <f>IFERROR((Input!B31-Input!B30)/Input!B30, "")</f>
        <v/>
      </c>
      <c r="C31" t="str">
        <f>IFERROR((Input!C31-Input!C30)/Input!C30, "")</f>
        <v/>
      </c>
      <c r="D31" t="str">
        <f>IFERROR((Input!D31-Input!D30)/Input!D30, "")</f>
        <v/>
      </c>
      <c r="E31" t="str">
        <f>IFERROR((Input!E31-Input!E30)/Input!E30, "")</f>
        <v/>
      </c>
      <c r="F31" t="str">
        <f>IFERROR((Input!F31-Input!F30)/Input!F30, "")</f>
        <v/>
      </c>
      <c r="G31" t="str">
        <f>IFERROR((Input!G31-Input!G30)/Input!G30, "")</f>
        <v/>
      </c>
      <c r="H31" t="str">
        <f>IFERROR((Input!H31-Input!H30)/Input!H30, "")</f>
        <v/>
      </c>
      <c r="I31">
        <f>IFERROR((Input!I31-Input!I30)/Input!I30, "")</f>
        <v>4.6140354822026802E-2</v>
      </c>
      <c r="J31">
        <f>IFERROR((Input!J31-Input!J30)/Input!J30, "")</f>
        <v>-8.9899989009781217E-2</v>
      </c>
      <c r="K31">
        <f>IFERROR((Input!K31-Input!K30)/Input!K30, "")</f>
        <v>8.9733616331965551E-3</v>
      </c>
    </row>
    <row r="32" spans="1:11" x14ac:dyDescent="0.2">
      <c r="A32">
        <f>Input!A32</f>
        <v>44774</v>
      </c>
      <c r="B32" t="str">
        <f>IFERROR((Input!B32-Input!B31)/Input!B31, "")</f>
        <v/>
      </c>
      <c r="C32" t="str">
        <f>IFERROR((Input!C32-Input!C31)/Input!C31, "")</f>
        <v/>
      </c>
      <c r="D32" t="str">
        <f>IFERROR((Input!D32-Input!D31)/Input!D31, "")</f>
        <v/>
      </c>
      <c r="E32" t="str">
        <f>IFERROR((Input!E32-Input!E31)/Input!E31, "")</f>
        <v/>
      </c>
      <c r="F32" t="str">
        <f>IFERROR((Input!F32-Input!F31)/Input!F31, "")</f>
        <v/>
      </c>
      <c r="G32" t="str">
        <f>IFERROR((Input!G32-Input!G31)/Input!G31, "")</f>
        <v/>
      </c>
      <c r="H32" t="str">
        <f>IFERROR((Input!H32-Input!H31)/Input!H31, "")</f>
        <v/>
      </c>
      <c r="I32">
        <f>IFERROR((Input!I32-Input!I31)/Input!I31, "")</f>
        <v>2.6501880709296044E-2</v>
      </c>
      <c r="J32">
        <f>IFERROR((Input!J32-Input!J31)/Input!J31, "")</f>
        <v>-5.6394155295254218E-2</v>
      </c>
      <c r="K32">
        <f>IFERROR((Input!K32-Input!K31)/Input!K31, "")</f>
        <v>1.0905156549439781E-2</v>
      </c>
    </row>
    <row r="33" spans="1:11" x14ac:dyDescent="0.2">
      <c r="A33">
        <f>Input!A33</f>
        <v>44805</v>
      </c>
      <c r="B33">
        <f>IFERROR((Input!B33-Input!B32)/Input!B32, "")</f>
        <v>0</v>
      </c>
      <c r="C33">
        <f>IFERROR((Input!C33-Input!C32)/Input!C32, "")</f>
        <v>-3.6363636363636362E-2</v>
      </c>
      <c r="D33">
        <f>IFERROR((Input!D33-Input!D32)/Input!D32, "")</f>
        <v>-1.0034469551895756E-2</v>
      </c>
      <c r="E33">
        <f>IFERROR((Input!E33-Input!E32)/Input!E32, "")</f>
        <v>0.17027027027027028</v>
      </c>
      <c r="F33">
        <f>IFERROR((Input!F33-Input!F32)/Input!F32, "")</f>
        <v>0.12727272727272732</v>
      </c>
      <c r="G33">
        <f>IFERROR((Input!G33-Input!G32)/Input!G32, "")</f>
        <v>-9.0137614678898942E-2</v>
      </c>
      <c r="H33">
        <f>IFERROR((Input!H33-Input!H32)/Input!H32, "")</f>
        <v>-7.199918066366244E-2</v>
      </c>
      <c r="I33">
        <f>IFERROR((Input!I33-Input!I32)/Input!I32, "")</f>
        <v>6.1560366849533017E-3</v>
      </c>
      <c r="J33">
        <f>IFERROR((Input!J33-Input!J32)/Input!J32, "")</f>
        <v>-9.9052981827489062E-2</v>
      </c>
      <c r="K33">
        <f>IFERROR((Input!K33-Input!K32)/Input!K32, "")</f>
        <v>2.0915918884902771E-2</v>
      </c>
    </row>
    <row r="34" spans="1:11" x14ac:dyDescent="0.2">
      <c r="A34">
        <f>Input!A34</f>
        <v>44835</v>
      </c>
      <c r="B34">
        <f>IFERROR((Input!B34-Input!B33)/Input!B33, "")</f>
        <v>0</v>
      </c>
      <c r="C34">
        <f>IFERROR((Input!C34-Input!C33)/Input!C33, "")</f>
        <v>0</v>
      </c>
      <c r="D34">
        <f>IFERROR((Input!D34-Input!D33)/Input!D33, "")</f>
        <v>0.17649334571340133</v>
      </c>
      <c r="E34">
        <f>IFERROR((Input!E34-Input!E33)/Input!E33, "")</f>
        <v>-3.0023094688221709E-2</v>
      </c>
      <c r="F34">
        <f>IFERROR((Input!F34-Input!F33)/Input!F33, "")</f>
        <v>-7.7566770724939338E-2</v>
      </c>
      <c r="G34">
        <f>IFERROR((Input!G34-Input!G33)/Input!G33, "")</f>
        <v>-0.23493824048399292</v>
      </c>
      <c r="H34">
        <f>IFERROR((Input!H34-Input!H33)/Input!H33, "")</f>
        <v>3.4322922414744501E-2</v>
      </c>
      <c r="I34">
        <f>IFERROR((Input!I34-Input!I33)/Input!I33, "")</f>
        <v>4.0268875384999632E-3</v>
      </c>
      <c r="J34">
        <f>IFERROR((Input!J34-Input!J33)/Input!J33, "")</f>
        <v>6.5909090909090917E-2</v>
      </c>
      <c r="K34">
        <f>IFERROR((Input!K34-Input!K33)/Input!K33, "")</f>
        <v>3.5825291370633346E-2</v>
      </c>
    </row>
    <row r="35" spans="1:11" x14ac:dyDescent="0.2">
      <c r="A35">
        <f>Input!A35</f>
        <v>44866</v>
      </c>
      <c r="B35">
        <f>IFERROR((Input!B35-Input!B34)/Input!B34, "")</f>
        <v>0</v>
      </c>
      <c r="C35">
        <f>IFERROR((Input!C35-Input!C34)/Input!C34, "")</f>
        <v>3.7735849056603772E-2</v>
      </c>
      <c r="D35">
        <f>IFERROR((Input!D35-Input!D34)/Input!D34, "")</f>
        <v>2.7951331798750412E-2</v>
      </c>
      <c r="E35">
        <f>IFERROR((Input!E35-Input!E34)/Input!E34, "")</f>
        <v>-1.9642857142857142E-2</v>
      </c>
      <c r="F35">
        <f>IFERROR((Input!F35-Input!F34)/Input!F34, "")</f>
        <v>-2.9377203290246769E-2</v>
      </c>
      <c r="G35">
        <f>IFERROR((Input!G35-Input!G34)/Input!G34, "")</f>
        <v>4.9835255354200872E-2</v>
      </c>
      <c r="H35">
        <f>IFERROR((Input!H35-Input!H34)/Input!H34, "")</f>
        <v>-2.9662825437473336E-2</v>
      </c>
      <c r="I35">
        <f>IFERROR((Input!I35-Input!I34)/Input!I34, "")</f>
        <v>4.6740110476624673E-3</v>
      </c>
      <c r="J35">
        <f>IFERROR((Input!J35-Input!J34)/Input!J34, "")</f>
        <v>-0.113272921108742</v>
      </c>
      <c r="K35">
        <f>IFERROR((Input!K35-Input!K34)/Input!K34, "")</f>
        <v>1.1195336661462694E-2</v>
      </c>
    </row>
    <row r="36" spans="1:11" x14ac:dyDescent="0.2">
      <c r="A36">
        <f>Input!A36</f>
        <v>44896</v>
      </c>
      <c r="B36">
        <f>IFERROR((Input!B36-Input!B35)/Input!B35, "")</f>
        <v>0</v>
      </c>
      <c r="C36">
        <f>IFERROR((Input!C36-Input!C35)/Input!C35, "")</f>
        <v>-1.8181818181818181E-2</v>
      </c>
      <c r="D36">
        <f>IFERROR((Input!D36-Input!D35)/Input!D35, "")</f>
        <v>-5.5022392834292444E-3</v>
      </c>
      <c r="E36">
        <f>IFERROR((Input!E36-Input!E35)/Input!E35, "")</f>
        <v>-0.13102610807528842</v>
      </c>
      <c r="F36">
        <f>IFERROR((Input!F36-Input!F35)/Input!F35, "")</f>
        <v>-4.7941888619854718E-2</v>
      </c>
      <c r="G36">
        <f>IFERROR((Input!G36-Input!G35)/Input!G35, "")</f>
        <v>-7.8540604158493482E-2</v>
      </c>
      <c r="H36">
        <f>IFERROR((Input!H36-Input!H35)/Input!H35, "")</f>
        <v>-0.10380470639982403</v>
      </c>
      <c r="I36">
        <f>IFERROR((Input!I36-Input!I35)/Input!I35, "")</f>
        <v>8.1492026159972891E-3</v>
      </c>
      <c r="J36">
        <f>IFERROR((Input!J36-Input!J35)/Input!J35, "")</f>
        <v>-0.15419296663660961</v>
      </c>
      <c r="K36">
        <f>IFERROR((Input!K36-Input!K35)/Input!K35, "")</f>
        <v>7.2850442327222834E-3</v>
      </c>
    </row>
    <row r="37" spans="1:11" x14ac:dyDescent="0.2">
      <c r="A37">
        <f>Input!A37</f>
        <v>44927</v>
      </c>
      <c r="B37">
        <f>IFERROR((Input!B37-Input!B36)/Input!B36, "")</f>
        <v>0</v>
      </c>
      <c r="C37">
        <f>IFERROR((Input!C37-Input!C36)/Input!C36, "")</f>
        <v>1.8518518518518517E-2</v>
      </c>
      <c r="D37">
        <f>IFERROR((Input!D37-Input!D36)/Input!D36, "")</f>
        <v>-8.968090581574889E-2</v>
      </c>
      <c r="E37">
        <f>IFERROR((Input!E37-Input!E36)/Input!E36, "")</f>
        <v>-8.1889323644494125E-2</v>
      </c>
      <c r="F37">
        <f>IFERROR((Input!F37-Input!F36)/Input!F36, "")</f>
        <v>-0.14801627670396744</v>
      </c>
      <c r="G37">
        <f>IFERROR((Input!G37-Input!G36)/Input!G36, "")</f>
        <v>-0.40054495912806537</v>
      </c>
      <c r="H37">
        <f>IFERROR((Input!H37-Input!H36)/Input!H36, "")</f>
        <v>3.1656441717791389E-2</v>
      </c>
      <c r="I37">
        <f>IFERROR((Input!I37-Input!I36)/Input!I36, "")</f>
        <v>-4.1235214668685863E-2</v>
      </c>
      <c r="J37">
        <f>IFERROR((Input!J37-Input!J36)/Input!J36, "")</f>
        <v>-4.0867093105899782E-3</v>
      </c>
      <c r="K37">
        <f>IFERROR((Input!K37-Input!K36)/Input!K36, "")</f>
        <v>1.0280319365930341E-2</v>
      </c>
    </row>
    <row r="38" spans="1:11" x14ac:dyDescent="0.2">
      <c r="A38">
        <f>Input!A38</f>
        <v>44958</v>
      </c>
      <c r="B38">
        <f>IFERROR((Input!B38-Input!B37)/Input!B37, "")</f>
        <v>0</v>
      </c>
      <c r="C38">
        <f>IFERROR((Input!C38-Input!C37)/Input!C37, "")</f>
        <v>-1.8181818181818181E-2</v>
      </c>
      <c r="D38">
        <f>IFERROR((Input!D38-Input!D37)/Input!D37, "")</f>
        <v>-0.23745583038869258</v>
      </c>
      <c r="E38">
        <f>IFERROR((Input!E38-Input!E37)/Input!E37, "")</f>
        <v>-0.18569254185692541</v>
      </c>
      <c r="F38">
        <f>IFERROR((Input!F38-Input!F37)/Input!F37, "")</f>
        <v>-0.22388059701492538</v>
      </c>
      <c r="G38">
        <f>IFERROR((Input!G38-Input!G37)/Input!G37, "")</f>
        <v>-0.31178977272727276</v>
      </c>
      <c r="H38">
        <f>IFERROR((Input!H38-Input!H37)/Input!H37, "")</f>
        <v>-5.3520456707897577E-3</v>
      </c>
      <c r="I38">
        <f>IFERROR((Input!I38-Input!I37)/Input!I37, "")</f>
        <v>-2.6498900770527765E-2</v>
      </c>
      <c r="J38">
        <f>IFERROR((Input!J38-Input!J37)/Input!J37, "")</f>
        <v>7.5289919714540701E-2</v>
      </c>
      <c r="K38">
        <f>IFERROR((Input!K38-Input!K37)/Input!K37, "")</f>
        <v>1.2186047048236557E-2</v>
      </c>
    </row>
    <row r="39" spans="1:11" x14ac:dyDescent="0.2">
      <c r="A39">
        <f>Input!A39</f>
        <v>44986</v>
      </c>
      <c r="B39">
        <f>IFERROR((Input!B39-Input!B38)/Input!B38, "")</f>
        <v>-0.08</v>
      </c>
      <c r="C39">
        <f>IFERROR((Input!C39-Input!C38)/Input!C38, "")</f>
        <v>1.8518518518518517E-2</v>
      </c>
      <c r="D39">
        <f>IFERROR((Input!D39-Input!D38)/Input!D38, "")</f>
        <v>-2.6135310472659913E-2</v>
      </c>
      <c r="E39">
        <f>IFERROR((Input!E39-Input!E38)/Input!E38, "")</f>
        <v>-0.35925233644859811</v>
      </c>
      <c r="F39">
        <f>IFERROR((Input!F39-Input!F38)/Input!F38, "")</f>
        <v>-9.2307692307692313E-2</v>
      </c>
      <c r="G39">
        <f>IFERROR((Input!G39-Input!G38)/Input!G38, "")</f>
        <v>4.7471620227039378E-3</v>
      </c>
      <c r="H39">
        <f>IFERROR((Input!H39-Input!H38)/Input!H38, "")</f>
        <v>-5.225397584598817E-2</v>
      </c>
      <c r="I39">
        <f>IFERROR((Input!I39-Input!I38)/Input!I38, "")</f>
        <v>-2.3503875289139383E-2</v>
      </c>
      <c r="J39">
        <f>IFERROR((Input!J39-Input!J38)/Input!J38, "")</f>
        <v>-2.9367844698855203E-2</v>
      </c>
      <c r="K39">
        <f>IFERROR((Input!K39-Input!K38)/Input!K38, "")</f>
        <v>4.5421775666580387E-3</v>
      </c>
    </row>
    <row r="40" spans="1:11" x14ac:dyDescent="0.2">
      <c r="A40">
        <f>Input!A40</f>
        <v>45017</v>
      </c>
      <c r="B40">
        <f>IFERROR((Input!B40-Input!B39)/Input!B39, "")</f>
        <v>0</v>
      </c>
      <c r="C40">
        <f>IFERROR((Input!C40-Input!C39)/Input!C39, "")</f>
        <v>0</v>
      </c>
      <c r="D40">
        <f>IFERROR((Input!D40-Input!D39)/Input!D39, "")</f>
        <v>-0.22059383326988957</v>
      </c>
      <c r="E40">
        <f>IFERROR((Input!E40-Input!E39)/Input!E39, "")</f>
        <v>-0.36843640606767797</v>
      </c>
      <c r="F40">
        <f>IFERROR((Input!F40-Input!F39)/Input!F39, "")</f>
        <v>-2.9661016949152543E-2</v>
      </c>
      <c r="G40">
        <f>IFERROR((Input!G40-Input!G39)/Input!G39, "")</f>
        <v>-0.10127362366474944</v>
      </c>
      <c r="H40">
        <f>IFERROR((Input!H40-Input!H39)/Input!H39, "")</f>
        <v>5.3999495331819337E-2</v>
      </c>
      <c r="I40">
        <f>IFERROR((Input!I40-Input!I39)/Input!I39, "")</f>
        <v>-3.3163064833005851E-2</v>
      </c>
      <c r="J40">
        <f>IFERROR((Input!J40-Input!J39)/Input!J39, "")</f>
        <v>6.3247863247863301E-2</v>
      </c>
      <c r="K40">
        <f>IFERROR((Input!K40-Input!K39)/Input!K39, "")</f>
        <v>-8.0731404970399538E-3</v>
      </c>
    </row>
    <row r="41" spans="1:11" x14ac:dyDescent="0.2">
      <c r="A41">
        <f>Input!A41</f>
        <v>45047</v>
      </c>
      <c r="B41">
        <f>IFERROR((Input!B41-Input!B40)/Input!B40, "")</f>
        <v>0</v>
      </c>
      <c r="C41">
        <f>IFERROR((Input!C41-Input!C40)/Input!C40, "")</f>
        <v>-0.4</v>
      </c>
      <c r="D41">
        <f>IFERROR((Input!D41-Input!D40)/Input!D40, "")</f>
        <v>-0.14224664224664224</v>
      </c>
      <c r="E41">
        <f>IFERROR((Input!E41-Input!E40)/Input!E40, "")</f>
        <v>-0.10854503464203233</v>
      </c>
      <c r="F41">
        <f>IFERROR((Input!F41-Input!F40)/Input!F40, "")</f>
        <v>3.2751091703056769E-2</v>
      </c>
      <c r="G41">
        <f>IFERROR((Input!G41-Input!G40)/Input!G40, "")</f>
        <v>5.1428571428571344E-2</v>
      </c>
      <c r="H41">
        <f>IFERROR((Input!H41-Input!H40)/Input!H40, "")</f>
        <v>-9.3248743117069738E-2</v>
      </c>
      <c r="I41">
        <f>IFERROR((Input!I41-Input!I40)/Input!I40, "")</f>
        <v>-3.4556031629916037E-2</v>
      </c>
      <c r="J41">
        <f>IFERROR((Input!J41-Input!J40)/Input!J40, "")</f>
        <v>-0.13826366559485531</v>
      </c>
      <c r="K41">
        <f>IFERROR((Input!K41-Input!K40)/Input!K40, "")</f>
        <v>-1.0220744049576552E-2</v>
      </c>
    </row>
    <row r="42" spans="1:11" x14ac:dyDescent="0.2">
      <c r="A42">
        <f>Input!A42</f>
        <v>45078</v>
      </c>
      <c r="B42">
        <f>IFERROR((Input!B42-Input!B41)/Input!B41, "")</f>
        <v>-0.34782608695652173</v>
      </c>
      <c r="C42">
        <f>IFERROR((Input!C42-Input!C41)/Input!C41, "")</f>
        <v>0</v>
      </c>
      <c r="D42">
        <f>IFERROR((Input!D42-Input!D41)/Input!D41, "")</f>
        <v>-0.22277580071174377</v>
      </c>
      <c r="E42">
        <f>IFERROR((Input!E42-Input!E41)/Input!E41, "")</f>
        <v>-0.14611398963730571</v>
      </c>
      <c r="F42">
        <f>IFERROR((Input!F42-Input!F41)/Input!F41, "")</f>
        <v>-0.1404651162790698</v>
      </c>
      <c r="G42">
        <f>IFERROR((Input!G42-Input!G41)/Input!G41, "")</f>
        <v>6.78260869565218E-2</v>
      </c>
      <c r="H42">
        <f>IFERROR((Input!H42-Input!H41)/Input!H41, "")</f>
        <v>-1.0165016501650113E-2</v>
      </c>
      <c r="I42">
        <f>IFERROR((Input!I42-Input!I41)/Input!I41, "")</f>
        <v>-2.6856696133261217E-2</v>
      </c>
      <c r="J42">
        <f>IFERROR((Input!J42-Input!J41)/Input!J41, "")</f>
        <v>7.220149253731338E-2</v>
      </c>
      <c r="K42">
        <f>IFERROR((Input!K42-Input!K41)/Input!K41, "")</f>
        <v>-6.3766407498259681E-3</v>
      </c>
    </row>
    <row r="43" spans="1:11" x14ac:dyDescent="0.2">
      <c r="A43">
        <f>Input!A43</f>
        <v>45108</v>
      </c>
      <c r="B43">
        <f>IFERROR((Input!B43-Input!B42)/Input!B42, "")</f>
        <v>0</v>
      </c>
      <c r="C43">
        <f>IFERROR((Input!C43-Input!C42)/Input!C42, "")</f>
        <v>0</v>
      </c>
      <c r="D43">
        <f>IFERROR((Input!D43-Input!D42)/Input!D42, "")</f>
        <v>9.432234432234432E-2</v>
      </c>
      <c r="E43">
        <f>IFERROR((Input!E43-Input!E42)/Input!E42, "")</f>
        <v>0.25</v>
      </c>
      <c r="F43">
        <f>IFERROR((Input!F43-Input!F42)/Input!F42, "")</f>
        <v>0.20326643053915783</v>
      </c>
      <c r="G43">
        <f>IFERROR((Input!G43-Input!G42)/Input!G42, "")</f>
        <v>7.2882736156351727E-2</v>
      </c>
      <c r="H43">
        <f>IFERROR((Input!H43-Input!H42)/Input!H42, "")</f>
        <v>6.8418244865297351E-2</v>
      </c>
      <c r="I43">
        <f>IFERROR((Input!I43-Input!I42)/Input!I42, "")</f>
        <v>-2.3457583547557864E-2</v>
      </c>
      <c r="J43">
        <f>IFERROR((Input!J43-Input!J42)/Input!J42, "")</f>
        <v>0.22202888463546208</v>
      </c>
      <c r="K43">
        <f>IFERROR((Input!K43-Input!K42)/Input!K42, "")</f>
        <v>6.1936609479503032E-4</v>
      </c>
    </row>
    <row r="44" spans="1:11" x14ac:dyDescent="0.2">
      <c r="A44">
        <f>Input!A44</f>
        <v>45139</v>
      </c>
      <c r="B44">
        <f>IFERROR((Input!B44-Input!B43)/Input!B43, "")</f>
        <v>-0.16666666666666666</v>
      </c>
      <c r="C44">
        <f>IFERROR((Input!C44-Input!C43)/Input!C43, "")</f>
        <v>-0.15151515151515152</v>
      </c>
      <c r="D44">
        <f>IFERROR((Input!D44-Input!D43)/Input!D43, "")</f>
        <v>0.44769874476987448</v>
      </c>
      <c r="E44">
        <f>IFERROR((Input!E44-Input!E43)/Input!E43, "")</f>
        <v>0.29611650485436891</v>
      </c>
      <c r="F44">
        <f>IFERROR((Input!F44-Input!F43)/Input!F43, "")</f>
        <v>0.16925592804578904</v>
      </c>
      <c r="G44">
        <f>IFERROR((Input!G44-Input!G43)/Input!G43, "")</f>
        <v>9.4876660341570811E-4</v>
      </c>
      <c r="H44">
        <f>IFERROR((Input!H44-Input!H43)/Input!H43, "")</f>
        <v>6.3163150667831763E-2</v>
      </c>
      <c r="I44">
        <f>IFERROR((Input!I44-Input!I43)/Input!I43, "")</f>
        <v>-1.214974561470122E-2</v>
      </c>
      <c r="J44">
        <f>IFERROR((Input!J44-Input!J43)/Input!J43, "")</f>
        <v>1.2672647016944334E-2</v>
      </c>
      <c r="K44">
        <f>IFERROR((Input!K44-Input!K43)/Input!K43, "")</f>
        <v>8.4187461676832314E-3</v>
      </c>
    </row>
    <row r="45" spans="1:11" x14ac:dyDescent="0.2">
      <c r="A45">
        <f>Input!A45</f>
        <v>45170</v>
      </c>
      <c r="B45">
        <f>IFERROR((Input!B45-Input!B44)/Input!B44, "")</f>
        <v>0</v>
      </c>
      <c r="C45">
        <f>IFERROR((Input!C45-Input!C44)/Input!C44, "")</f>
        <v>0</v>
      </c>
      <c r="D45">
        <f>IFERROR((Input!D45-Input!D44)/Input!D44, "")</f>
        <v>0.1838150289017341</v>
      </c>
      <c r="E45">
        <f>IFERROR((Input!E45-Input!E44)/Input!E44, "")</f>
        <v>0.34232209737827718</v>
      </c>
      <c r="F45">
        <f>IFERROR((Input!F45-Input!F44)/Input!F44, "")</f>
        <v>-2.3496503496503434E-2</v>
      </c>
      <c r="G45">
        <f>IFERROR((Input!G45-Input!G44)/Input!G44, "")</f>
        <v>1.9146919431279615E-2</v>
      </c>
      <c r="H45">
        <f>IFERROR((Input!H45-Input!H44)/Input!H44, "")</f>
        <v>8.8059175766114828E-2</v>
      </c>
      <c r="I45">
        <f>IFERROR((Input!I45-Input!I44)/Input!I44, "")</f>
        <v>2.1139211315244458E-3</v>
      </c>
      <c r="J45">
        <f>IFERROR((Input!J45-Input!J44)/Input!J44, "")</f>
        <v>0.15326209223847007</v>
      </c>
      <c r="K45">
        <f>IFERROR((Input!K45-Input!K44)/Input!K44, "")</f>
        <v>-1.1008328290250163E-3</v>
      </c>
    </row>
    <row r="46" spans="1:11" x14ac:dyDescent="0.2">
      <c r="A46">
        <f>Input!A46</f>
        <v>45200</v>
      </c>
      <c r="B46">
        <f>IFERROR((Input!B46-Input!B45)/Input!B45, "")</f>
        <v>0</v>
      </c>
      <c r="C46">
        <f>IFERROR((Input!C46-Input!C45)/Input!C45, "")</f>
        <v>0</v>
      </c>
      <c r="D46">
        <f>IFERROR((Input!D46-Input!D45)/Input!D45, "")</f>
        <v>-0.13818359375</v>
      </c>
      <c r="E46">
        <f>IFERROR((Input!E46-Input!E45)/Input!E45, "")</f>
        <v>0.22767857142857142</v>
      </c>
      <c r="F46">
        <f>IFERROR((Input!F46-Input!F45)/Input!F45, "")</f>
        <v>2.0481237467774211E-2</v>
      </c>
      <c r="G46">
        <f>IFERROR((Input!G46-Input!G45)/Input!G45, "")</f>
        <v>0.15978422619047616</v>
      </c>
      <c r="H46">
        <f>IFERROR((Input!H46-Input!H45)/Input!H45, "")</f>
        <v>-4.0142440919391377E-2</v>
      </c>
      <c r="I46">
        <f>IFERROR((Input!I46-Input!I45)/Input!I45, "")</f>
        <v>1.2912463723647591E-2</v>
      </c>
      <c r="J46">
        <f>IFERROR((Input!J46-Input!J45)/Input!J45, "")</f>
        <v>-7.5835162155571803E-2</v>
      </c>
      <c r="K46">
        <f>IFERROR((Input!K46-Input!K45)/Input!K45, "")</f>
        <v>-3.955248854679955E-3</v>
      </c>
    </row>
    <row r="47" spans="1:11" x14ac:dyDescent="0.2">
      <c r="A47">
        <f>Input!A47</f>
        <v>45231</v>
      </c>
      <c r="B47">
        <f>IFERROR((Input!B47-Input!B46)/Input!B46, "")</f>
        <v>0.2</v>
      </c>
      <c r="C47">
        <f>IFERROR((Input!C47-Input!C46)/Input!C46, "")</f>
        <v>0</v>
      </c>
      <c r="D47">
        <f>IFERROR((Input!D47-Input!D46)/Input!D46, "")</f>
        <v>-0.10934844192634562</v>
      </c>
      <c r="E47">
        <f>IFERROR((Input!E47-Input!E46)/Input!E46, "")</f>
        <v>0</v>
      </c>
      <c r="F47">
        <f>IFERROR((Input!F47-Input!F46)/Input!F46, "")</f>
        <v>-4.0350877192982457E-2</v>
      </c>
      <c r="G47">
        <f>IFERROR((Input!G47-Input!G46)/Input!G46, "")</f>
        <v>8.0192461908580297E-3</v>
      </c>
      <c r="H47">
        <f>IFERROR((Input!H47-Input!H46)/Input!H46, "")</f>
        <v>-7.5997751545812314E-2</v>
      </c>
      <c r="I47">
        <f>IFERROR((Input!I47-Input!I46)/Input!I46, "")</f>
        <v>2.1507276376074514E-2</v>
      </c>
      <c r="J47">
        <f>IFERROR((Input!J47-Input!J46)/Input!J46, "")</f>
        <v>-0.14775725593667549</v>
      </c>
      <c r="K47">
        <f>IFERROR((Input!K47-Input!K46)/Input!K46, "")</f>
        <v>-3.382987166082162E-3</v>
      </c>
    </row>
    <row r="48" spans="1:11" x14ac:dyDescent="0.2">
      <c r="A48">
        <f>Input!A48</f>
        <v>45261</v>
      </c>
      <c r="B48">
        <f>IFERROR((Input!B48-Input!B47)/Input!B47, "")</f>
        <v>0</v>
      </c>
      <c r="C48">
        <f>IFERROR((Input!C48-Input!C47)/Input!C47, "")</f>
        <v>0.17857142857142858</v>
      </c>
      <c r="D48">
        <f>IFERROR((Input!D48-Input!D47)/Input!D47, "")</f>
        <v>-0.10178117048346055</v>
      </c>
      <c r="E48">
        <f>IFERROR((Input!E48-Input!E47)/Input!E47, "")</f>
        <v>-0.15818181818181817</v>
      </c>
      <c r="F48">
        <f>IFERROR((Input!F48-Input!F47)/Input!F47, "")</f>
        <v>-0.17367458866544791</v>
      </c>
      <c r="G48">
        <f>IFERROR((Input!G48-Input!G47)/Input!G47, "")</f>
        <v>-0.18027048528241846</v>
      </c>
      <c r="H48">
        <f>IFERROR((Input!H48-Input!H47)/Input!H47, "")</f>
        <v>-5.657622581822596E-2</v>
      </c>
      <c r="I48">
        <f>IFERROR((Input!I48-Input!I47)/Input!I47, "")</f>
        <v>1.8224951503095152E-2</v>
      </c>
      <c r="J48">
        <f>IFERROR((Input!J48-Input!J47)/Input!J47, "")</f>
        <v>-7.5851393188854366E-2</v>
      </c>
      <c r="K48">
        <f>IFERROR((Input!K48-Input!K47)/Input!K47, "")</f>
        <v>-5.8734804076852314E-3</v>
      </c>
    </row>
    <row r="49" spans="1:11" x14ac:dyDescent="0.2">
      <c r="A49">
        <f>Input!A49</f>
        <v>45292</v>
      </c>
      <c r="B49">
        <f>IFERROR((Input!B49-Input!B48)/Input!B48, "")</f>
        <v>3.3333333333333333E-2</v>
      </c>
      <c r="C49">
        <f>IFERROR((Input!C49-Input!C48)/Input!C48, "")</f>
        <v>0</v>
      </c>
      <c r="D49">
        <f>IFERROR((Input!D49-Input!D48)/Input!D48, "")</f>
        <v>3.0453257790368272E-2</v>
      </c>
      <c r="E49">
        <f>IFERROR((Input!E49-Input!E48)/Input!E48, "")</f>
        <v>-8.2073434125269976E-2</v>
      </c>
      <c r="F49">
        <f>IFERROR((Input!F49-Input!F48)/Input!F48, "")</f>
        <v>-4.4247787610619468E-2</v>
      </c>
      <c r="G49">
        <f>IFERROR((Input!G49-Input!G48)/Input!G48, "")</f>
        <v>8.4045031055900582E-2</v>
      </c>
      <c r="H49">
        <f>IFERROR((Input!H49-Input!H48)/Input!H48, "")</f>
        <v>2.0247614134640095E-2</v>
      </c>
      <c r="I49">
        <f>IFERROR((Input!I49-Input!I48)/Input!I48, "")</f>
        <v>7.1522182312396779E-2</v>
      </c>
      <c r="J49">
        <f>IFERROR((Input!J49-Input!J48)/Input!J48, "")</f>
        <v>0.20954773869346718</v>
      </c>
      <c r="K49">
        <f>IFERROR((Input!K49-Input!K48)/Input!K48, "")</f>
        <v>-3.8676520457920703E-3</v>
      </c>
    </row>
    <row r="50" spans="1:11" x14ac:dyDescent="0.2">
      <c r="A50">
        <f>Input!A50</f>
        <v>45323</v>
      </c>
      <c r="B50">
        <f>IFERROR((Input!B50-Input!B49)/Input!B49, "")</f>
        <v>0</v>
      </c>
      <c r="C50">
        <f>IFERROR((Input!C50-Input!C49)/Input!C49, "")</f>
        <v>0</v>
      </c>
      <c r="D50">
        <f>IFERROR((Input!D50-Input!D49)/Input!D49, "")</f>
        <v>0.15120274914089346</v>
      </c>
      <c r="E50">
        <f>IFERROR((Input!E50-Input!E49)/Input!E49, "")</f>
        <v>-0.23529411764705882</v>
      </c>
      <c r="F50">
        <f>IFERROR((Input!F50-Input!F49)/Input!F49, "")</f>
        <v>0.13796296296296295</v>
      </c>
      <c r="G50">
        <f>IFERROR((Input!G50-Input!G49)/Input!G49, "")</f>
        <v>-0.33393017009847803</v>
      </c>
      <c r="H50">
        <f>IFERROR((Input!H50-Input!H49)/Input!H49, "")</f>
        <v>3.4003286563013498E-2</v>
      </c>
      <c r="I50">
        <f>IFERROR((Input!I50-Input!I49)/Input!I49, "")</f>
        <v>-1.9569205680505509E-2</v>
      </c>
      <c r="J50">
        <f>IFERROR((Input!J50-Input!J49)/Input!J49, "")</f>
        <v>3.2959423902506717E-2</v>
      </c>
      <c r="K50">
        <f>IFERROR((Input!K50-Input!K49)/Input!K49, "")</f>
        <v>-4.4021188865573969E-3</v>
      </c>
    </row>
    <row r="51" spans="1:11" x14ac:dyDescent="0.2">
      <c r="A51">
        <f>Input!A51</f>
        <v>45352</v>
      </c>
      <c r="B51">
        <f>IFERROR((Input!B51-Input!B50)/Input!B50, "")</f>
        <v>-3.2258064516129031E-2</v>
      </c>
      <c r="C51">
        <f>IFERROR((Input!C51-Input!C50)/Input!C50, "")</f>
        <v>0</v>
      </c>
      <c r="D51">
        <f>IFERROR((Input!D51-Input!D50)/Input!D50, "")</f>
        <v>9.8507462686567168E-2</v>
      </c>
      <c r="E51">
        <f>IFERROR((Input!E51-Input!E50)/Input!E50, "")</f>
        <v>-6.1538461538461542E-2</v>
      </c>
      <c r="F51">
        <f>IFERROR((Input!F51-Input!F50)/Input!F50, "")</f>
        <v>-1.3832384052074858E-2</v>
      </c>
      <c r="G51">
        <f>IFERROR((Input!G51-Input!G50)/Input!G50, "")</f>
        <v>-6.0215053763440912E-2</v>
      </c>
      <c r="H51">
        <f>IFERROR((Input!H51-Input!H50)/Input!H50, "")</f>
        <v>3.8630806845965732E-2</v>
      </c>
      <c r="I51">
        <f>IFERROR((Input!I51-Input!I50)/Input!I50, "")</f>
        <v>-7.2423591378473692E-3</v>
      </c>
      <c r="J51">
        <f>IFERROR((Input!J51-Input!J50)/Input!J50, "")</f>
        <v>3.8074808955624123E-2</v>
      </c>
      <c r="K51">
        <f>IFERROR((Input!K51-Input!K50)/Input!K50, "")</f>
        <v>-4.7871007678815551E-3</v>
      </c>
    </row>
    <row r="52" spans="1:11" x14ac:dyDescent="0.2">
      <c r="A52">
        <f>Input!A52</f>
        <v>45383</v>
      </c>
      <c r="B52">
        <f>IFERROR((Input!B52-Input!B51)/Input!B51, "")</f>
        <v>0</v>
      </c>
      <c r="C52">
        <f>IFERROR((Input!C52-Input!C51)/Input!C51, "")</f>
        <v>0</v>
      </c>
      <c r="D52">
        <f>IFERROR((Input!D52-Input!D51)/Input!D51, "")</f>
        <v>-0.10597826086956522</v>
      </c>
      <c r="E52">
        <f>IFERROR((Input!E52-Input!E51)/Input!E51, "")</f>
        <v>-0.12745901639344262</v>
      </c>
      <c r="F52">
        <f>IFERROR((Input!F52-Input!F51)/Input!F51, "")</f>
        <v>-0.11716171617161716</v>
      </c>
      <c r="G52">
        <f>IFERROR((Input!G52-Input!G51)/Input!G51, "")</f>
        <v>1.2585812356979417E-2</v>
      </c>
      <c r="H52">
        <f>IFERROR((Input!H52-Input!H51)/Input!H51, "")</f>
        <v>4.71986817325801E-2</v>
      </c>
      <c r="I52">
        <f>IFERROR((Input!I52-Input!I51)/Input!I51, "")</f>
        <v>-1.1576902044283157E-2</v>
      </c>
      <c r="J52">
        <f>IFERROR((Input!J52-Input!J51)/Input!J51, "")</f>
        <v>2.7121270825261452E-2</v>
      </c>
      <c r="K52">
        <f>IFERROR((Input!K52-Input!K51)/Input!K51, "")</f>
        <v>9.4780834130626858E-5</v>
      </c>
    </row>
    <row r="53" spans="1:11" x14ac:dyDescent="0.2">
      <c r="A53">
        <f>Input!A53</f>
        <v>45413</v>
      </c>
      <c r="B53">
        <f>IFERROR((Input!B53-Input!B52)/Input!B52, "")</f>
        <v>-0.13333333333333333</v>
      </c>
      <c r="C53">
        <f>IFERROR((Input!C53-Input!C52)/Input!C52, "")</f>
        <v>-9.0909090909090912E-2</v>
      </c>
      <c r="D53">
        <f>IFERROR((Input!D53-Input!D52)/Input!D52, "")</f>
        <v>-0.11246200607902736</v>
      </c>
      <c r="E53">
        <f>IFERROR((Input!E53-Input!E52)/Input!E52, "")</f>
        <v>4.2743071864725223E-2</v>
      </c>
      <c r="F53">
        <f>IFERROR((Input!F53-Input!F52)/Input!F52, "")</f>
        <v>-6.1682242990654203E-2</v>
      </c>
      <c r="G53">
        <f>IFERROR((Input!G53-Input!G52)/Input!G52, "")</f>
        <v>0.35141242937853101</v>
      </c>
      <c r="H53">
        <f>IFERROR((Input!H53-Input!H52)/Input!H52, "")</f>
        <v>-6.6539282904349795E-2</v>
      </c>
      <c r="I53">
        <f>IFERROR((Input!I53-Input!I52)/Input!I52, "")</f>
        <v>-1.1806667294472141E-2</v>
      </c>
      <c r="J53">
        <f>IFERROR((Input!J53-Input!J52)/Input!J52, "")</f>
        <v>-0.1012196655350182</v>
      </c>
      <c r="K53">
        <f>IFERROR((Input!K53-Input!K52)/Input!K52, "")</f>
        <v>1.4097312921845099E-3</v>
      </c>
    </row>
    <row r="54" spans="1:11" x14ac:dyDescent="0.2">
      <c r="A54">
        <f>Input!A54</f>
        <v>45444</v>
      </c>
      <c r="B54">
        <f>IFERROR((Input!B54-Input!B53)/Input!B53, "")</f>
        <v>-0.11538461538461539</v>
      </c>
      <c r="C54">
        <f>IFERROR((Input!C54-Input!C53)/Input!C53, "")</f>
        <v>-0.1</v>
      </c>
      <c r="D54">
        <f>IFERROR((Input!D54-Input!D53)/Input!D53, "")</f>
        <v>0.11301369863013698</v>
      </c>
      <c r="E54">
        <f>IFERROR((Input!E54-Input!E53)/Input!E53, "")</f>
        <v>4.954954954954955E-2</v>
      </c>
      <c r="F54">
        <f>IFERROR((Input!F54-Input!F53)/Input!F53, "")</f>
        <v>0.1752988047808765</v>
      </c>
      <c r="G54">
        <f>IFERROR((Input!G54-Input!G53)/Input!G53, "")</f>
        <v>0.17474916387959874</v>
      </c>
      <c r="H54">
        <f>IFERROR((Input!H54-Input!H53)/Input!H53, "")</f>
        <v>-1.565322095123365E-3</v>
      </c>
      <c r="I54">
        <f>IFERROR((Input!I54-Input!I53)/Input!I53, "")</f>
        <v>-1.2567153867228859E-2</v>
      </c>
      <c r="J54">
        <f>IFERROR((Input!J54-Input!J53)/Input!J53, "")</f>
        <v>0.12367095691102391</v>
      </c>
      <c r="K54">
        <f>IFERROR((Input!K54-Input!K53)/Input!K53, "")</f>
        <v>-3.8446864953940399E-5</v>
      </c>
    </row>
    <row r="55" spans="1:11" x14ac:dyDescent="0.2">
      <c r="A55">
        <f>Input!A55</f>
        <v>45474</v>
      </c>
      <c r="B55">
        <f>IFERROR((Input!B55-Input!B54)/Input!B54, "")</f>
        <v>0.12173913043478261</v>
      </c>
      <c r="C55">
        <f>IFERROR((Input!C55-Input!C54)/Input!C54, "")</f>
        <v>7.4074074074074077E-3</v>
      </c>
      <c r="D55">
        <f>IFERROR((Input!D55-Input!D54)/Input!D54, "")</f>
        <v>9.5384615384615387E-2</v>
      </c>
      <c r="E55">
        <f>IFERROR((Input!E55-Input!E54)/Input!E54, "")</f>
        <v>4.7210300429184553E-2</v>
      </c>
      <c r="F55">
        <f>IFERROR((Input!F55-Input!F54)/Input!F54, "")</f>
        <v>4.6610169491525424E-2</v>
      </c>
      <c r="G55">
        <f>IFERROR((Input!G55-Input!G54)/Input!G54, "")</f>
        <v>-0.20017793594306049</v>
      </c>
      <c r="H55">
        <f>IFERROR((Input!H55-Input!H54)/Input!H54, "")</f>
        <v>1.3627592860588464E-2</v>
      </c>
      <c r="I55">
        <f>IFERROR((Input!I55-Input!I54)/Input!I54, "")</f>
        <v>-1.5019181122879876E-2</v>
      </c>
      <c r="J55">
        <f>IFERROR((Input!J55-Input!J54)/Input!J54, "")</f>
        <v>-6.2873505976095589E-2</v>
      </c>
      <c r="K55">
        <f>IFERROR((Input!K55-Input!K54)/Input!K54, "")</f>
        <v>-7.9854251203723524E-5</v>
      </c>
    </row>
    <row r="56" spans="1:11" x14ac:dyDescent="0.2">
      <c r="A56">
        <f>Input!A56</f>
        <v>45505</v>
      </c>
      <c r="B56">
        <f>IFERROR((Input!B56-Input!B55)/Input!B55, "")</f>
        <v>-3.1007751937984496E-2</v>
      </c>
      <c r="C56">
        <f>IFERROR((Input!C56-Input!C55)/Input!C55, "")</f>
        <v>1.8382352941176471E-2</v>
      </c>
      <c r="D56">
        <f>IFERROR((Input!D56-Input!D55)/Input!D55, "")</f>
        <v>7.415730337078652E-2</v>
      </c>
      <c r="E56">
        <f>IFERROR((Input!E56-Input!E55)/Input!E55, "")</f>
        <v>0.13278688524590163</v>
      </c>
      <c r="F56">
        <f>IFERROR((Input!F56-Input!F55)/Input!F55, "")</f>
        <v>-1.862348178137652E-2</v>
      </c>
      <c r="G56">
        <f>IFERROR((Input!G56-Input!G55)/Input!G55, "")</f>
        <v>-7.4527252502780861E-2</v>
      </c>
      <c r="H56">
        <f>IFERROR((Input!H56-Input!H55)/Input!H55, "")</f>
        <v>-5.9845330160618694E-2</v>
      </c>
      <c r="I56">
        <f>IFERROR((Input!I56-Input!I55)/Input!I55, "")</f>
        <v>-8.5977782948964254E-3</v>
      </c>
      <c r="J56">
        <f>IFERROR((Input!J56-Input!J55)/Input!J55, "")</f>
        <v>-1.5809751561046869E-2</v>
      </c>
      <c r="K56">
        <f>IFERROR((Input!K56-Input!K55)/Input!K55, "")</f>
        <v>3.54936126287296E-5</v>
      </c>
    </row>
    <row r="57" spans="1:11" x14ac:dyDescent="0.2">
      <c r="A57">
        <f>Input!A57</f>
        <v>45536</v>
      </c>
      <c r="B57">
        <f>IFERROR((Input!B57-Input!B56)/Input!B56, "")</f>
        <v>-8.4000000000000005E-2</v>
      </c>
      <c r="C57">
        <f>IFERROR((Input!C57-Input!C56)/Input!C56, "")</f>
        <v>-9.0252707581227443E-2</v>
      </c>
      <c r="D57">
        <f>IFERROR((Input!D57-Input!D56)/Input!D56, "")</f>
        <v>3.8179916317991634E-2</v>
      </c>
      <c r="E57">
        <f>IFERROR((Input!E57-Input!E56)/Input!E56, "")</f>
        <v>0.1251808972503618</v>
      </c>
      <c r="F57">
        <f>IFERROR((Input!F57-Input!F56)/Input!F56, "")</f>
        <v>-3.7128712871287127E-3</v>
      </c>
      <c r="G57">
        <f>IFERROR((Input!G57-Input!G56)/Input!G56, "")</f>
        <v>0.14182692307692304</v>
      </c>
      <c r="H57">
        <f>IFERROR((Input!H57-Input!H56)/Input!H56, "")</f>
        <v>-7.5423943305492208E-2</v>
      </c>
      <c r="I57">
        <f>IFERROR((Input!I57-Input!I56)/Input!I56, "")</f>
        <v>-8.6723411615007122E-3</v>
      </c>
      <c r="J57">
        <f>IFERROR((Input!J57-Input!J56)/Input!J56, "")</f>
        <v>-0.10313174946004321</v>
      </c>
      <c r="K57">
        <f>IFERROR((Input!K57-Input!K56)/Input!K56, "")</f>
        <v>-2.9576960731314838E-6</v>
      </c>
    </row>
    <row r="58" spans="1:11" x14ac:dyDescent="0.2">
      <c r="A58">
        <f>Input!A58</f>
        <v>45566</v>
      </c>
      <c r="B58">
        <f>IFERROR((Input!B58-Input!B57)/Input!B57, "")</f>
        <v>0.13100436681222707</v>
      </c>
      <c r="C58">
        <f>IFERROR((Input!C58-Input!C57)/Input!C57, "")</f>
        <v>7.1428571428571425E-2</v>
      </c>
      <c r="D58">
        <f>IFERROR((Input!D58-Input!D57)/Input!D57, "")</f>
        <v>-2.2670025188916875E-2</v>
      </c>
      <c r="E58">
        <f>IFERROR((Input!E58-Input!E57)/Input!E57, "")</f>
        <v>0.10610932475884244</v>
      </c>
      <c r="F58">
        <f>IFERROR((Input!F58-Input!F57)/Input!F57, "")</f>
        <v>6.6252587991718431E-2</v>
      </c>
      <c r="G58">
        <f>IFERROR((Input!G58-Input!G57)/Input!G57, "")</f>
        <v>9.4736842105263189E-2</v>
      </c>
      <c r="H58">
        <f>IFERROR((Input!H58-Input!H57)/Input!H57, "")</f>
        <v>3.0249110320284611E-2</v>
      </c>
      <c r="I58">
        <f>IFERROR((Input!I58-Input!I57)/Input!I57, "")</f>
        <v>-8.748208611128537E-3</v>
      </c>
      <c r="J58">
        <f>IFERROR((Input!J58-Input!J57)/Input!J57, "")</f>
        <v>3.9133052378086258E-3</v>
      </c>
      <c r="K58">
        <f>IFERROR((Input!K58-Input!K57)/Input!K57, "")</f>
        <v>3.1381248151434865E-3</v>
      </c>
    </row>
    <row r="59" spans="1:11" x14ac:dyDescent="0.2">
      <c r="A59">
        <f>Input!A59</f>
        <v>45597</v>
      </c>
      <c r="B59">
        <f>IFERROR((Input!B59-Input!B58)/Input!B58, "")</f>
        <v>2.3166023166023165E-2</v>
      </c>
      <c r="C59">
        <f>IFERROR((Input!C59-Input!C58)/Input!C58, "")</f>
        <v>0</v>
      </c>
      <c r="D59">
        <f>IFERROR((Input!D59-Input!D58)/Input!D58, "")</f>
        <v>-1.8556701030927835E-2</v>
      </c>
      <c r="E59">
        <f>IFERROR((Input!E59-Input!E58)/Input!E58, "")</f>
        <v>0</v>
      </c>
      <c r="F59">
        <f>IFERROR((Input!F59-Input!F58)/Input!F58, "")</f>
        <v>-1.7320388349514527E-2</v>
      </c>
      <c r="G59">
        <f>IFERROR((Input!G59-Input!G58)/Input!G58, "")</f>
        <v>0.1253846153846154</v>
      </c>
      <c r="H59">
        <f>IFERROR((Input!H59-Input!H58)/Input!H58, "")</f>
        <v>-2.3382489703733106E-2</v>
      </c>
      <c r="I59">
        <f>IFERROR((Input!I59-Input!I58)/Input!I58, "")</f>
        <v>-6.4870573149113922E-3</v>
      </c>
      <c r="J59">
        <f>IFERROR((Input!J59-Input!J58)/Input!J58, "")</f>
        <v>1.1544227886056911E-2</v>
      </c>
      <c r="K59">
        <f>IFERROR((Input!K59-Input!K58)/Input!K58, "")</f>
        <v>6.2418733285961748E-3</v>
      </c>
    </row>
    <row r="60" spans="1:11" x14ac:dyDescent="0.2">
      <c r="A60">
        <f>Input!A60</f>
        <v>45627</v>
      </c>
      <c r="B60">
        <f>IFERROR((Input!B60-Input!B59)/Input!B59, "")</f>
        <v>-7.9245283018867921E-2</v>
      </c>
      <c r="C60">
        <f>IFERROR((Input!C60-Input!C59)/Input!C59, "")</f>
        <v>0</v>
      </c>
      <c r="D60">
        <f>IFERROR((Input!D60-Input!D59)/Input!D59, "")</f>
        <v>-7.510504201680672E-2</v>
      </c>
      <c r="E60">
        <f>IFERROR((Input!E60-Input!E59)/Input!E59, "")</f>
        <v>-3.4883720930232558E-2</v>
      </c>
      <c r="F60">
        <f>IFERROR((Input!F60-Input!F59)/Input!F59, "")</f>
        <v>-1.2013910844135349E-2</v>
      </c>
      <c r="G60">
        <f>IFERROR((Input!G60-Input!G59)/Input!G59, "")</f>
        <v>0.15686944634313041</v>
      </c>
      <c r="H60">
        <f>IFERROR((Input!H60-Input!H59)/Input!H59, "")</f>
        <v>-3.8090055774724681E-3</v>
      </c>
      <c r="I60">
        <f>IFERROR((Input!I60-Input!I59)/Input!I59, "")</f>
        <v>-9.4904273223075659E-4</v>
      </c>
      <c r="J60">
        <f>IFERROR((Input!J60-Input!J59)/Input!J59, "")</f>
        <v>1.5414258188824756E-2</v>
      </c>
      <c r="K60">
        <f>IFERROR((Input!K60-Input!K59)/Input!K59, "")</f>
        <v>1.5207543410356364E-3</v>
      </c>
    </row>
    <row r="61" spans="1:11" x14ac:dyDescent="0.2">
      <c r="A61">
        <f>Input!A61</f>
        <v>45658</v>
      </c>
      <c r="B61">
        <f>IFERROR((Input!B61-Input!B60)/Input!B60, "")</f>
        <v>0.13114754098360656</v>
      </c>
      <c r="C61">
        <f>IFERROR((Input!C61-Input!C60)/Input!C60, "")</f>
        <v>0.11481481481481481</v>
      </c>
      <c r="D61">
        <f>IFERROR((Input!D61-Input!D60)/Input!D60, "")</f>
        <v>5.7921635434412524E-3</v>
      </c>
      <c r="E61">
        <f>IFERROR((Input!E61-Input!E60)/Input!E60, "")</f>
        <v>-3.9759036144578312E-2</v>
      </c>
      <c r="F61">
        <f>IFERROR((Input!F61-Input!F60)/Input!F60, "")</f>
        <v>0.1024</v>
      </c>
      <c r="G61">
        <f>IFERROR((Input!G61-Input!G60)/Input!G60, "")</f>
        <v>0.10251107828655848</v>
      </c>
      <c r="H61">
        <f>IFERROR((Input!H61-Input!H60)/Input!H60, "")</f>
        <v>6.7731803905503124E-2</v>
      </c>
      <c r="I61">
        <f>IFERROR((Input!I61-Input!I60)/Input!I60, "")</f>
        <v>2.9258283514034594E-3</v>
      </c>
      <c r="J61">
        <f>IFERROR((Input!J61-Input!J60)/Input!J60, "")</f>
        <v>2.350021894613924E-2</v>
      </c>
      <c r="K61">
        <f>IFERROR((Input!K61-Input!K60)/Input!K60, "")</f>
        <v>3.6981015046944027E-3</v>
      </c>
    </row>
    <row r="62" spans="1:11" x14ac:dyDescent="0.2">
      <c r="A62">
        <f>Input!A62</f>
        <v>45689</v>
      </c>
      <c r="B62">
        <f>IFERROR((Input!B62-Input!B61)/Input!B61, "")</f>
        <v>0.11594202898550725</v>
      </c>
      <c r="C62">
        <f>IFERROR((Input!C62-Input!C61)/Input!C61, "")</f>
        <v>2.9900332225913623E-2</v>
      </c>
      <c r="D62">
        <f>IFERROR((Input!D62-Input!D61)/Input!D61, "")</f>
        <v>8.4010840108401055E-2</v>
      </c>
      <c r="E62">
        <f>IFERROR((Input!E62-Input!E61)/Input!E61, "")</f>
        <v>-0.13895859473023839</v>
      </c>
      <c r="F62">
        <f>IFERROR((Input!F62-Input!F61)/Input!F61, "")</f>
        <v>0.11393323657474601</v>
      </c>
      <c r="G62">
        <f>IFERROR((Input!G62-Input!G61)/Input!G61, "")</f>
        <v>8.8424437299035145E-3</v>
      </c>
      <c r="H62">
        <f>IFERROR((Input!H62-Input!H61)/Input!H61, "")</f>
        <v>-3.8368077759304259E-2</v>
      </c>
      <c r="I62">
        <f>IFERROR((Input!I62-Input!I61)/Input!I61, "")</f>
        <v>-1.3639291262013827E-3</v>
      </c>
      <c r="J62">
        <f>IFERROR((Input!J62-Input!J61)/Input!J61, "")</f>
        <v>-6.6029663434113081E-2</v>
      </c>
      <c r="K62">
        <f>IFERROR((Input!K62-Input!K61)/Input!K61, "")</f>
        <v>8.077280716840456E-3</v>
      </c>
    </row>
    <row r="63" spans="1:11" x14ac:dyDescent="0.2">
      <c r="A63">
        <f>Input!A63</f>
        <v>45717</v>
      </c>
      <c r="B63">
        <f>IFERROR((Input!B63-Input!B62)/Input!B62, "")</f>
        <v>-2.2727272727272728E-2</v>
      </c>
      <c r="C63">
        <f>IFERROR((Input!C63-Input!C62)/Input!C62, "")</f>
        <v>3.2258064516129032E-3</v>
      </c>
      <c r="D63">
        <f>IFERROR((Input!D63-Input!D62)/Input!D62, "")</f>
        <v>-1.5625E-2</v>
      </c>
      <c r="E63">
        <f>IFERROR((Input!E63-Input!E62)/Input!E62, "")</f>
        <v>-0.10018214936247723</v>
      </c>
      <c r="F63">
        <f>IFERROR((Input!F63-Input!F62)/Input!F62, "")</f>
        <v>-8.143322475570032E-2</v>
      </c>
      <c r="G63">
        <f>IFERROR((Input!G63-Input!G62)/Input!G62, "")</f>
        <v>9.8937583001328031E-2</v>
      </c>
      <c r="H63">
        <f>IFERROR((Input!H63-Input!H62)/Input!H62, "")</f>
        <v>-4.5883761138449303E-2</v>
      </c>
      <c r="I63">
        <f>IFERROR((Input!I63-Input!I62)/Input!I62, "")</f>
        <v>-3.2247865950046847E-3</v>
      </c>
      <c r="J63">
        <f>IFERROR((Input!J63-Input!J62)/Input!J62, "")</f>
        <v>-1</v>
      </c>
      <c r="K63">
        <f>IFERROR((Input!K63-Input!K62)/Input!K62, "")</f>
        <v>4.5542344259640521E-3</v>
      </c>
    </row>
    <row r="64" spans="1:11" x14ac:dyDescent="0.2">
      <c r="A64">
        <f>Input!A64</f>
        <v>45748</v>
      </c>
      <c r="B64">
        <f>IFERROR((Input!B64-Input!B63)/Input!B63, "")</f>
        <v>1.3289036544850499E-2</v>
      </c>
      <c r="C64">
        <f>IFERROR((Input!C64-Input!C63)/Input!C63, "")</f>
        <v>1.2861736334405145E-2</v>
      </c>
      <c r="D64">
        <f>IFERROR((Input!D64-Input!D63)/Input!D63, "")</f>
        <v>-5.0264550264550262E-2</v>
      </c>
      <c r="E64">
        <f>IFERROR((Input!E64-Input!E63)/Input!E63, "")</f>
        <v>-2.0242914979757085E-2</v>
      </c>
      <c r="F64">
        <f>IFERROR((Input!F64-Input!F63)/Input!F63, "")</f>
        <v>-3.1914893617021274E-2</v>
      </c>
      <c r="G64">
        <f>IFERROR((Input!G64-Input!G63)/Input!G63, "")</f>
        <v>-0.16072507552870091</v>
      </c>
      <c r="H64">
        <f>IFERROR((Input!H64-Input!H63)/Input!H63, "")</f>
        <v>-6.7047672149428333E-2</v>
      </c>
      <c r="I64">
        <f>IFERROR((Input!I64-Input!I63)/Input!I63, "")</f>
        <v>-2.9142349657447383E-2</v>
      </c>
      <c r="J64" t="str">
        <f>IFERROR((Input!J64-Input!J63)/Input!J63, "")</f>
        <v/>
      </c>
      <c r="K64">
        <f>IFERROR((Input!K64-Input!K63)/Input!K63, "")</f>
        <v>1.9562069848909215E-2</v>
      </c>
    </row>
    <row r="65" spans="1:11" x14ac:dyDescent="0.2">
      <c r="A65">
        <f>Input!A65</f>
        <v>45778</v>
      </c>
      <c r="B65">
        <f>IFERROR((Input!B65-Input!B64)/Input!B64, "")</f>
        <v>5.2459016393442623E-2</v>
      </c>
      <c r="C65">
        <f>IFERROR((Input!C65-Input!C64)/Input!C64, "")</f>
        <v>3.1746031746031744E-2</v>
      </c>
      <c r="D65">
        <f>IFERROR((Input!D65-Input!D64)/Input!D64, "")</f>
        <v>-4.4011142061281337E-2</v>
      </c>
      <c r="E65">
        <f>IFERROR((Input!E65-Input!E64)/Input!E64, "")</f>
        <v>0</v>
      </c>
      <c r="F65">
        <f>IFERROR((Input!F65-Input!F64)/Input!F64, "")</f>
        <v>2.8571428571428571E-2</v>
      </c>
      <c r="G65">
        <f>IFERROR((Input!G65-Input!G64)/Input!G64, "")</f>
        <v>-9.9352051835853057E-3</v>
      </c>
      <c r="H65">
        <f>IFERROR((Input!H65-Input!H64)/Input!H64, "")</f>
        <v>-4.2432392051397032E-2</v>
      </c>
      <c r="I65">
        <f>IFERROR((Input!I65-Input!I64)/Input!I64, "")</f>
        <v>-2.401892241548292E-2</v>
      </c>
      <c r="J65">
        <f>IFERROR((Input!J65-Input!J64)/Input!J64, "")</f>
        <v>-5.6623198352779387E-3</v>
      </c>
      <c r="K65">
        <f>IFERROR((Input!K65-Input!K64)/Input!K64, "")</f>
        <v>8.6871088048378984E-3</v>
      </c>
    </row>
    <row r="66" spans="1:11" x14ac:dyDescent="0.2">
      <c r="A66">
        <f>Input!A66</f>
        <v>45809</v>
      </c>
      <c r="B66">
        <f>IFERROR((Input!B66-Input!B65)/Input!B65, "")</f>
        <v>-4.0498442367601244E-2</v>
      </c>
      <c r="C66">
        <f>IFERROR((Input!C66-Input!C65)/Input!C65, "")</f>
        <v>-3.0769230769230771E-2</v>
      </c>
      <c r="D66">
        <f>IFERROR((Input!D66-Input!D65)/Input!D65, "")</f>
        <v>0.13927738927738928</v>
      </c>
      <c r="E66">
        <f>IFERROR((Input!E66-Input!E65)/Input!E65, "")</f>
        <v>-4.1322314049586778E-2</v>
      </c>
      <c r="F66">
        <f>IFERROR((Input!F66-Input!F65)/Input!F65, "")</f>
        <v>8.9743589743589744E-2</v>
      </c>
      <c r="G66">
        <f>IFERROR((Input!G66-Input!G65)/Input!G65, "")</f>
        <v>6.6026759744037183E-2</v>
      </c>
      <c r="H66">
        <f>IFERROR((Input!H66-Input!H65)/Input!H65, "")</f>
        <v>8.9873615228584655E-2</v>
      </c>
      <c r="I66">
        <f>IFERROR((Input!I66-Input!I65)/Input!I65, "")</f>
        <v>-2.313717613978707E-2</v>
      </c>
      <c r="J66">
        <f>IFERROR((Input!J66-Input!J65)/Input!J65, "")</f>
        <v>9.2493528904227768E-2</v>
      </c>
      <c r="K66">
        <f>IFERROR((Input!K66-Input!K65)/Input!K65, "")</f>
        <v>1.3322884012538522E-3</v>
      </c>
    </row>
    <row r="67" spans="1:11" x14ac:dyDescent="0.2">
      <c r="A67">
        <f>Input!A67</f>
        <v>45839</v>
      </c>
      <c r="B67">
        <f>IFERROR((Input!B67-Input!B66)/Input!B66, "")</f>
        <v>0</v>
      </c>
      <c r="C67">
        <f>IFERROR((Input!C67-Input!C66)/Input!C66, "")</f>
        <v>1.5873015873015872E-2</v>
      </c>
      <c r="D67">
        <f>IFERROR((Input!D67-Input!D66)/Input!D66, "")</f>
        <v>0.28388746803069054</v>
      </c>
      <c r="E67">
        <f>IFERROR((Input!E67-Input!E66)/Input!E66, "")</f>
        <v>5.1724137931034482E-2</v>
      </c>
      <c r="F67">
        <f>IFERROR((Input!F67-Input!F66)/Input!F66, "")</f>
        <v>9.2156862745098045E-2</v>
      </c>
      <c r="G67">
        <f>IFERROR((Input!G67-Input!G66)/Input!G66, "")</f>
        <v>-8.1855388813096813E-2</v>
      </c>
      <c r="H67">
        <f>IFERROR((Input!H67-Input!H66)/Input!H66, "")</f>
        <v>-4.1517537580528568E-3</v>
      </c>
      <c r="I67">
        <f>IFERROR((Input!I67-Input!I66)/Input!I66, "")</f>
        <v>-1.6530284962375179E-2</v>
      </c>
      <c r="J67">
        <f>IFERROR((Input!J67-Input!J66)/Input!J66, "")</f>
        <v>3.6171220976148978E-2</v>
      </c>
      <c r="K67">
        <f>IFERROR((Input!K67-Input!K66)/Input!K66, "")</f>
        <v>1.9901832533905485E-3</v>
      </c>
    </row>
    <row r="68" spans="1:11" x14ac:dyDescent="0.2">
      <c r="A68">
        <f>Input!A68</f>
        <v>45870</v>
      </c>
      <c r="B68">
        <f>IFERROR((Input!B68-Input!B67)/Input!B67, "")</f>
        <v>0.20129870129870131</v>
      </c>
      <c r="C68">
        <f>IFERROR((Input!C68-Input!C67)/Input!C67, "")</f>
        <v>0.15625</v>
      </c>
      <c r="D68">
        <f>IFERROR((Input!D68-Input!D67)/Input!D67, "")</f>
        <v>-1.6095617529880514E-2</v>
      </c>
      <c r="E68">
        <f>IFERROR((Input!E68-Input!E67)/Input!E67, "")</f>
        <v>6.0655737704918035E-2</v>
      </c>
      <c r="F68">
        <f>IFERROR((Input!F68-Input!F67)/Input!F67, "")</f>
        <v>6.2357869539198113E-2</v>
      </c>
      <c r="G68">
        <f>IFERROR((Input!G68-Input!G67)/Input!G67, "")</f>
        <v>-0.13343239227340276</v>
      </c>
      <c r="H68">
        <f>IFERROR((Input!H68-Input!H67)/Input!H67, "")</f>
        <v>-3.3352501437607929E-2</v>
      </c>
      <c r="I68">
        <f>IFERROR((Input!I68-Input!I67)/Input!I67, "")</f>
        <v>-6.048696185419063E-3</v>
      </c>
      <c r="J68">
        <f>IFERROR((Input!J68-Input!J67)/Input!J67, "")</f>
        <v>-7.6219512195121958E-3</v>
      </c>
      <c r="K68">
        <f>IFERROR((Input!K68-Input!K67)/Input!K67, "")</f>
        <v>2.0810783668277328E-3</v>
      </c>
    </row>
    <row r="69" spans="1:11" x14ac:dyDescent="0.2">
      <c r="A69">
        <f>Input!A69</f>
        <v>45901</v>
      </c>
      <c r="B69">
        <f>IFERROR((Input!B69-Input!B68)/Input!B68, "")</f>
        <v>8.1081081081081086E-3</v>
      </c>
      <c r="C69">
        <f>IFERROR((Input!C69-Input!C68)/Input!C68, "")</f>
        <v>5.675675675675676E-2</v>
      </c>
      <c r="D69">
        <f>IFERROR((Input!D69-Input!D68)/Input!D68, "")</f>
        <v>-9.0945902170391932E-2</v>
      </c>
      <c r="E69">
        <f>IFERROR((Input!E69-Input!E68)/Input!E68, "")</f>
        <v>8.964451313755796E-2</v>
      </c>
      <c r="F69">
        <f>IFERROR((Input!F69-Input!F68)/Input!F68, "")</f>
        <v>-0.12432401982875171</v>
      </c>
      <c r="G69">
        <f>IFERROR((Input!G69-Input!G68)/Input!G68, "")</f>
        <v>2.2805212620027437E-2</v>
      </c>
      <c r="H69">
        <f>IFERROR((Input!H69-Input!H68)/Input!H68, "")</f>
        <v>5.5026769779893603E-3</v>
      </c>
      <c r="I69">
        <f>IFERROR((Input!I69-Input!I68)/Input!I68, "")</f>
        <v>-3.2530813130108339E-3</v>
      </c>
      <c r="J69">
        <f>IFERROR((Input!J69-Input!J68)/Input!J68, "")</f>
        <v>1.0752688172043055E-2</v>
      </c>
      <c r="K69">
        <f>IFERROR((Input!K69-Input!K68)/Input!K68, "")</f>
        <v>4.9552634362808805E-4</v>
      </c>
    </row>
    <row r="70" spans="1:11" x14ac:dyDescent="0.2">
      <c r="A70">
        <f>Input!A70</f>
        <v>45931</v>
      </c>
      <c r="B70">
        <f>IFERROR((Input!B70-Input!B69)/Input!B69, "")</f>
        <v>5.3619302949061663E-3</v>
      </c>
      <c r="C70">
        <f>IFERROR((Input!C70-Input!C69)/Input!C69, "")</f>
        <v>5.1150895140664961E-2</v>
      </c>
      <c r="D70">
        <f>IFERROR((Input!D70-Input!D69)/Input!D69, "")</f>
        <v>-0.12694877505567928</v>
      </c>
      <c r="E70">
        <f>IFERROR((Input!E70-Input!E69)/Input!E69, "")</f>
        <v>0.13475177304964539</v>
      </c>
      <c r="F70">
        <f>IFERROR((Input!F70-Input!F69)/Input!F69, "")</f>
        <v>-5.9504663879060789E-2</v>
      </c>
      <c r="G70">
        <f>IFERROR((Input!G70-Input!G69)/Input!G69, "")</f>
        <v>0.1218776194467729</v>
      </c>
      <c r="H70">
        <f>IFERROR((Input!H70-Input!H69)/Input!H69, "")</f>
        <v>-5.3690282502588414E-2</v>
      </c>
      <c r="I70">
        <f>IFERROR((Input!I70-Input!I69)/Input!I69, "")</f>
        <v>1.167616234085851E-3</v>
      </c>
      <c r="J70">
        <f>IFERROR((Input!J70-Input!J69)/Input!J69, "")</f>
        <v>-0.10942249240121575</v>
      </c>
      <c r="K70">
        <f>IFERROR((Input!K70-Input!K69)/Input!K69, "")</f>
        <v>-4.8415101059573847E-4</v>
      </c>
    </row>
    <row r="71" spans="1:11" x14ac:dyDescent="0.2">
      <c r="A71">
        <f>Input!A71</f>
        <v>45962</v>
      </c>
      <c r="B71">
        <f>IFERROR((Input!B71-Input!B70)/Input!B70, "")</f>
        <v>-0.12533333333333332</v>
      </c>
      <c r="C71">
        <f>IFERROR((Input!C71-Input!C70)/Input!C70, "")</f>
        <v>-0.12408759124087591</v>
      </c>
      <c r="D71">
        <f>IFERROR((Input!D71-Input!D70)/Input!D70, "")</f>
        <v>1.020408163265306E-2</v>
      </c>
      <c r="E71">
        <f>IFERROR((Input!E71-Input!E70)/Input!E70, "")</f>
        <v>0.121875</v>
      </c>
      <c r="F71">
        <f>IFERROR((Input!F71-Input!F70)/Input!F70, "")</f>
        <v>6.1559507523939808E-3</v>
      </c>
      <c r="G71">
        <f>IFERROR((Input!G71-Input!G70)/Input!G70, "")</f>
        <v>0.33741781231320966</v>
      </c>
      <c r="H71">
        <f>IFERROR((Input!H71-Input!H70)/Input!H70, "")</f>
        <v>-4.5326664582681954E-3</v>
      </c>
      <c r="I71">
        <f>IFERROR((Input!I71-Input!I70)/Input!I70, "")</f>
        <v>4.5526079136690781E-3</v>
      </c>
      <c r="J71">
        <f>IFERROR((Input!J71-Input!J70)/Input!J70, "")</f>
        <v>-4.6075085324232129E-2</v>
      </c>
      <c r="K71">
        <f>IFERROR((Input!K71-Input!K70)/Input!K70, "")</f>
        <v>-5.9713043333017328E-3</v>
      </c>
    </row>
    <row r="72" spans="1:11" x14ac:dyDescent="0.2">
      <c r="A72">
        <f>Input!A72</f>
        <v>45992</v>
      </c>
      <c r="B72">
        <f>IFERROR((Input!B72-Input!B71)/Input!B71, "")</f>
        <v>0</v>
      </c>
      <c r="C72">
        <f>IFERROR((Input!C72-Input!C71)/Input!C71, "")</f>
        <v>0</v>
      </c>
      <c r="D72">
        <f>IFERROR((Input!D72-Input!D71)/Input!D71, "")</f>
        <v>4.5454545454545456E-2</v>
      </c>
      <c r="E72">
        <f>IFERROR((Input!E72-Input!E71)/Input!E71, "")</f>
        <v>0.10724233983286909</v>
      </c>
      <c r="F72">
        <f>IFERROR((Input!F72-Input!F71)/Input!F71, "")</f>
        <v>-5.8463630183548609E-2</v>
      </c>
      <c r="G72">
        <f>IFERROR((Input!G72-Input!G71)/Input!G71, "")</f>
        <v>-1.0055865921787694E-2</v>
      </c>
      <c r="H72">
        <f>IFERROR((Input!H72-Input!H71)/Input!H71, "")</f>
        <v>-2.9517977704506131E-2</v>
      </c>
      <c r="I72">
        <f>IFERROR((Input!I72-Input!I71)/Input!I71, "")</f>
        <v>2.4953840989201635E-2</v>
      </c>
      <c r="J72">
        <f>IFERROR((Input!J72-Input!J71)/Input!J71, "")</f>
        <v>-8.2289803220035804E-2</v>
      </c>
      <c r="K72">
        <f>IFERROR((Input!K72-Input!K71)/Input!K71, "")</f>
        <v>-5.9903717167077526E-3</v>
      </c>
    </row>
    <row r="73" spans="1:11" x14ac:dyDescent="0.2">
      <c r="A73">
        <f>Input!A73</f>
        <v>46023</v>
      </c>
      <c r="B73">
        <f>IFERROR((Input!B73-Input!B72)/Input!B72, "")</f>
        <v>5.4878048780487805E-2</v>
      </c>
      <c r="C73">
        <f>IFERROR((Input!C73-Input!C72)/Input!C72, "")</f>
        <v>2.7777777777777779E-3</v>
      </c>
      <c r="D73">
        <f>IFERROR((Input!D73-Input!D72)/Input!D72, "")</f>
        <v>8.4057971014492749E-2</v>
      </c>
      <c r="E73">
        <f>IFERROR((Input!E73-Input!E72)/Input!E72, "")</f>
        <v>4.6540880503144651E-2</v>
      </c>
      <c r="F73">
        <f>IFERROR((Input!F73-Input!F72)/Input!F72, "")</f>
        <v>9.4007220216606527E-2</v>
      </c>
      <c r="G73">
        <f>IFERROR((Input!G73-Input!G72)/Input!G72, "")</f>
        <v>-5.3724604966139858E-2</v>
      </c>
      <c r="H73">
        <f>IFERROR((Input!H73-Input!H72)/Input!H72, "")</f>
        <v>4.4976541012781118E-2</v>
      </c>
      <c r="I73">
        <f>IFERROR((Input!I73-Input!I72)/Input!I72, "")</f>
        <v>0.12757246574594686</v>
      </c>
      <c r="J73">
        <f>IFERROR((Input!J73-Input!J72)/Input!J72, "")</f>
        <v>7.6023391812865618E-2</v>
      </c>
      <c r="K73">
        <f>IFERROR((Input!K73-Input!K72)/Input!K72, "")</f>
        <v>3.2118647410503461E-3</v>
      </c>
    </row>
    <row r="74" spans="1:11" x14ac:dyDescent="0.2">
      <c r="A74">
        <f>Input!A74</f>
        <v>46054</v>
      </c>
      <c r="B74">
        <f>IFERROR((Input!B74-Input!B73)/Input!B73, "")</f>
        <v>5.7803468208092483E-3</v>
      </c>
      <c r="C74">
        <f>IFERROR((Input!C74-Input!C73)/Input!C73, "")</f>
        <v>8.3102493074792248E-3</v>
      </c>
      <c r="D74">
        <f>IFERROR((Input!D74-Input!D73)/Input!D73, "")</f>
        <v>0.1697860962566845</v>
      </c>
      <c r="E74">
        <f>IFERROR((Input!E74-Input!E73)/Input!E73, "")</f>
        <v>-5.1682692307692304E-2</v>
      </c>
      <c r="F74">
        <f>IFERROR((Input!F74-Input!F73)/Input!F73, "")</f>
        <v>0.12031414994720166</v>
      </c>
      <c r="G74">
        <f>IFERROR((Input!G74-Input!G73)/Input!G73, "")</f>
        <v>-0.25214694656488557</v>
      </c>
      <c r="H74">
        <f>IFERROR((Input!H74-Input!H73)/Input!H73, "")</f>
        <v>7.7527481034215709E-2</v>
      </c>
      <c r="I74">
        <f>IFERROR((Input!I74-Input!I73)/Input!I73, "")</f>
        <v>-4.1791731216111509E-2</v>
      </c>
      <c r="J74">
        <f>IFERROR((Input!J74-Input!J73)/Input!J73, "")</f>
        <v>6.1594202898550693E-2</v>
      </c>
      <c r="K74">
        <f>IFERROR((Input!K74-Input!K73)/Input!K73, "")</f>
        <v>1.40701090222825E-3</v>
      </c>
    </row>
    <row r="75" spans="1:11" x14ac:dyDescent="0.2">
      <c r="A75">
        <f>Input!A75</f>
        <v>46082</v>
      </c>
      <c r="B75">
        <f>IFERROR((Input!B75-Input!B74)/Input!B74, "")</f>
        <v>0.3692456896551724</v>
      </c>
      <c r="C75">
        <f>IFERROR((Input!C75-Input!C74)/Input!C74, "")</f>
        <v>0.40589285714285717</v>
      </c>
      <c r="D75">
        <f>IFERROR((Input!D75-Input!D74)/Input!D74, "")</f>
        <v>0.2038095238095238</v>
      </c>
      <c r="E75">
        <f>IFERROR((Input!E75-Input!E74)/Input!E74, "")</f>
        <v>0.18124207858048164</v>
      </c>
      <c r="F75">
        <f>IFERROR((Input!F75-Input!F74)/Input!F74, "")</f>
        <v>0.42268041237113402</v>
      </c>
      <c r="G75">
        <f>IFERROR((Input!G75-Input!G74)/Input!G74, "")</f>
        <v>-2.5518341307814874E-2</v>
      </c>
      <c r="H75">
        <f>IFERROR((Input!H75-Input!H74)/Input!H74, "")</f>
        <v>0.50673515571680017</v>
      </c>
      <c r="I75">
        <f>IFERROR((Input!I75-Input!I74)/Input!I74, "")</f>
        <v>-3.2499273723964606E-2</v>
      </c>
      <c r="J75">
        <f>IFERROR((Input!J75-Input!J74)/Input!J74, "")</f>
        <v>0.87184300341296916</v>
      </c>
      <c r="K75">
        <f>IFERROR((Input!K75-Input!K74)/Input!K74, "")</f>
        <v>2.3837902264598165E-4</v>
      </c>
    </row>
    <row r="76" spans="1:11" x14ac:dyDescent="0.2">
      <c r="A76">
        <f>Input!A76</f>
        <v>46113</v>
      </c>
      <c r="B76">
        <f>IFERROR((Input!B76-Input!B75)/Input!B75, "")</f>
        <v>0.15879936410999002</v>
      </c>
      <c r="C76">
        <f>IFERROR((Input!C76-Input!C75)/Input!C75, "")</f>
        <v>0.25831713060215533</v>
      </c>
      <c r="D76">
        <f>IFERROR((Input!D76-Input!D75)/Input!D75, "")</f>
        <v>0.19778481012658228</v>
      </c>
      <c r="E76">
        <f>IFERROR((Input!E76-Input!E75)/Input!E75, "")</f>
        <v>0.17274678111587982</v>
      </c>
      <c r="F76">
        <f>IFERROR((Input!F76-Input!F75)/Input!F75, "")</f>
        <v>0.19151138716356109</v>
      </c>
      <c r="G76">
        <f>IFERROR((Input!G76-Input!G75)/Input!G75, "")</f>
        <v>-0.10801963993453356</v>
      </c>
      <c r="H76">
        <f>IFERROR((Input!H76-Input!H75)/Input!H75, "")</f>
        <v>-2.3935536165546095E-2</v>
      </c>
      <c r="I76">
        <f>IFERROR((Input!I76-Input!I75)/Input!I75, "")</f>
        <v>8.5602757252147485E-2</v>
      </c>
      <c r="J76">
        <f>IFERROR((Input!J76-Input!J75)/Input!J75, "")</f>
        <v>-1.0210593490746692E-2</v>
      </c>
      <c r="K76">
        <f>IFERROR((Input!K76-Input!K75)/Input!K75, "")</f>
        <v>1.9458307631918508E-3</v>
      </c>
    </row>
    <row r="77" spans="1:11" x14ac:dyDescent="0.2">
      <c r="A77">
        <f>Input!A77</f>
        <v>46143</v>
      </c>
      <c r="B77">
        <f>IFERROR((Input!B77-Input!B76)/Input!B76, "")</f>
        <v>9.352820262059354E-2</v>
      </c>
      <c r="C77">
        <f>IFERROR((Input!C77-Input!C76)/Input!C76, "")</f>
        <v>0.10099815587692894</v>
      </c>
      <c r="D77">
        <f>IFERROR((Input!D77-Input!D76)/Input!D76, "")</f>
        <v>4.7291941875825624E-2</v>
      </c>
      <c r="E77">
        <f>IFERROR((Input!E77-Input!E76)/Input!E76, "")</f>
        <v>0.12717291857273558</v>
      </c>
      <c r="F77">
        <f>IFERROR((Input!F77-Input!F76)/Input!F76, "")</f>
        <v>-0.12562988705473502</v>
      </c>
      <c r="G77">
        <f>IFERROR((Input!G77-Input!G76)/Input!G76, "")</f>
        <v>4.9541284403669644E-2</v>
      </c>
      <c r="H77">
        <f>IFERROR((Input!H77-Input!H76)/Input!H76, "")</f>
        <v>3.1361438131991396E-3</v>
      </c>
      <c r="I77">
        <f>IFERROR((Input!I77-Input!I76)/Input!I76, "")</f>
        <v>0.1030605495760929</v>
      </c>
      <c r="J77">
        <f>IFERROR((Input!J77-Input!J76)/Input!J76, "")</f>
        <v>-0.20438426821405545</v>
      </c>
      <c r="K77">
        <f>IFERROR((Input!K77-Input!K76)/Input!K76, "")</f>
        <v>7.135781326080531E-4</v>
      </c>
    </row>
    <row r="78" spans="1:11" x14ac:dyDescent="0.2">
      <c r="A78">
        <f>Input!A78</f>
        <v>46174</v>
      </c>
      <c r="B78">
        <f>IFERROR((Input!B78-Input!B77)/Input!B77, "")</f>
        <v>-0.13963958741851723</v>
      </c>
      <c r="C78">
        <f>IFERROR((Input!C78-Input!C77)/Input!C77, "")</f>
        <v>-0.18692011272627762</v>
      </c>
      <c r="D78">
        <f>IFERROR((Input!D78-Input!D77)/Input!D77, "")</f>
        <v>-0.1574167507568113</v>
      </c>
      <c r="E78">
        <f>IFERROR((Input!E78-Input!E77)/Input!E77, "")</f>
        <v>2.5974025974025976E-2</v>
      </c>
      <c r="F78">
        <f>IFERROR((Input!F78-Input!F77)/Input!F77, "")</f>
        <v>-0.35433227344992052</v>
      </c>
      <c r="G78">
        <f>IFERROR((Input!G78-Input!G77)/Input!G77, "")</f>
        <v>0.11975524475524485</v>
      </c>
      <c r="H78">
        <f>IFERROR((Input!H78-Input!H77)/Input!H77, "")</f>
        <v>-0.18771183139195136</v>
      </c>
      <c r="I78">
        <f>IFERROR((Input!I78-Input!I77)/Input!I77, "")</f>
        <v>3.604251839738342E-2</v>
      </c>
      <c r="J78">
        <f>IFERROR((Input!J78-Input!J77)/Input!J77, "")</f>
        <v>-0.33549432739059964</v>
      </c>
      <c r="K78">
        <f>IFERROR((Input!K78-Input!K77)/Input!K77, "")</f>
        <v>1.6778101222282129E-4</v>
      </c>
    </row>
    <row r="79" spans="1:11" x14ac:dyDescent="0.2">
      <c r="A79">
        <f>Input!A79</f>
        <v>46204</v>
      </c>
      <c r="B79">
        <f>IFERROR((Input!B79-Input!B78)/Input!B78, "")</f>
        <v>-0.10842793688070557</v>
      </c>
      <c r="C79">
        <f>IFERROR((Input!C79-Input!C78)/Input!C78, "")</f>
        <v>-0.17487564023054805</v>
      </c>
      <c r="D79">
        <f>IFERROR((Input!D79-Input!D78)/Input!D78, "")</f>
        <v>-5.9880239520958084E-2</v>
      </c>
      <c r="E79">
        <f>IFERROR((Input!E79-Input!E78)/Input!E78, "")</f>
        <v>-2.5316455696202531E-2</v>
      </c>
      <c r="F79">
        <f>IFERROR((Input!F79-Input!F78)/Input!F78, "")</f>
        <v>-0.10864881502000616</v>
      </c>
      <c r="G79">
        <f>IFERROR((Input!G79-Input!G78)/Input!G78, "")</f>
        <v>1.1709601873536327E-2</v>
      </c>
      <c r="H79">
        <f>IFERROR((Input!H79-Input!H78)/Input!H78, "")</f>
        <v>-0.11213692635112864</v>
      </c>
      <c r="I79">
        <f>IFERROR((Input!I79-Input!I78)/Input!I78, "")</f>
        <v>-1</v>
      </c>
      <c r="J79">
        <f>IFERROR((Input!J79-Input!J78)/Input!J78, "")</f>
        <v>-1</v>
      </c>
      <c r="K79">
        <f>IFERROR((Input!K79-Input!K78)/Input!K78, "")</f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5"/>
  <sheetViews>
    <sheetView workbookViewId="0"/>
  </sheetViews>
  <sheetFormatPr baseColWidth="10" defaultColWidth="8.83203125" defaultRowHeight="15" x14ac:dyDescent="0.2"/>
  <sheetData>
    <row r="1" spans="1:11" x14ac:dyDescent="0.2">
      <c r="A1" t="s">
        <v>12</v>
      </c>
      <c r="B1" t="s">
        <v>13</v>
      </c>
      <c r="C1" t="s">
        <v>14</v>
      </c>
    </row>
    <row r="2" spans="1:11" x14ac:dyDescent="0.2">
      <c r="A2" t="s">
        <v>15</v>
      </c>
      <c r="D2">
        <f t="array" ref="D2:E2">LINEST(PctChange!K4:K78,PctChange!K3:K77)</f>
        <v>0.6337544663830077</v>
      </c>
      <c r="E2">
        <v>1.230800963240995E-3</v>
      </c>
    </row>
    <row r="3" spans="1:11" x14ac:dyDescent="0.2">
      <c r="A3" t="s">
        <v>16</v>
      </c>
      <c r="D3">
        <f t="array" ref="D3:E3">LINEST(PctChange!I35:I78,PctChange!H33:H76)</f>
        <v>0.17033397911115075</v>
      </c>
      <c r="E3">
        <v>-5.2964132147295109E-4</v>
      </c>
    </row>
    <row r="5" spans="1:11" x14ac:dyDescent="0.2">
      <c r="A5" t="s">
        <v>17</v>
      </c>
      <c r="D5">
        <f t="array" ref="D5:F5">LINEST(PctChange!B34:B79,J10:K55)</f>
        <v>0.54812121386617207</v>
      </c>
      <c r="E5">
        <v>-0.22937628153800527</v>
      </c>
      <c r="F5">
        <v>2.0286851709613498E-3</v>
      </c>
    </row>
    <row r="6" spans="1:11" x14ac:dyDescent="0.2">
      <c r="A6" t="s">
        <v>18</v>
      </c>
      <c r="D6">
        <f t="array" ref="D6:F6">LINEST(PctChange!C34:C79,J10:K55)</f>
        <v>0.12811339003497688</v>
      </c>
      <c r="E6">
        <v>0.22452189329243905</v>
      </c>
      <c r="F6">
        <v>2.0980141846785008E-3</v>
      </c>
    </row>
    <row r="10" spans="1:11" x14ac:dyDescent="0.2">
      <c r="J10">
        <f>PctChange!B33</f>
        <v>0</v>
      </c>
      <c r="K10">
        <f>PctChange!C33</f>
        <v>-3.6363636363636362E-2</v>
      </c>
    </row>
    <row r="11" spans="1:11" x14ac:dyDescent="0.2">
      <c r="J11">
        <f>PctChange!B34</f>
        <v>0</v>
      </c>
      <c r="K11">
        <f>PctChange!C34</f>
        <v>0</v>
      </c>
    </row>
    <row r="12" spans="1:11" x14ac:dyDescent="0.2">
      <c r="J12">
        <f>PctChange!B35</f>
        <v>0</v>
      </c>
      <c r="K12">
        <f>PctChange!C35</f>
        <v>3.7735849056603772E-2</v>
      </c>
    </row>
    <row r="13" spans="1:11" x14ac:dyDescent="0.2">
      <c r="J13">
        <f>PctChange!B36</f>
        <v>0</v>
      </c>
      <c r="K13">
        <f>PctChange!C36</f>
        <v>-1.8181818181818181E-2</v>
      </c>
    </row>
    <row r="14" spans="1:11" x14ac:dyDescent="0.2">
      <c r="J14">
        <f>PctChange!B37</f>
        <v>0</v>
      </c>
      <c r="K14">
        <f>PctChange!C37</f>
        <v>1.8518518518518517E-2</v>
      </c>
    </row>
    <row r="15" spans="1:11" x14ac:dyDescent="0.2">
      <c r="J15">
        <f>PctChange!B38</f>
        <v>0</v>
      </c>
      <c r="K15">
        <f>PctChange!C38</f>
        <v>-1.8181818181818181E-2</v>
      </c>
    </row>
    <row r="16" spans="1:11" x14ac:dyDescent="0.2">
      <c r="J16">
        <f>PctChange!B39</f>
        <v>-0.08</v>
      </c>
      <c r="K16">
        <f>PctChange!C39</f>
        <v>1.8518518518518517E-2</v>
      </c>
    </row>
    <row r="17" spans="10:11" x14ac:dyDescent="0.2">
      <c r="J17">
        <f>PctChange!B40</f>
        <v>0</v>
      </c>
      <c r="K17">
        <f>PctChange!C40</f>
        <v>0</v>
      </c>
    </row>
    <row r="18" spans="10:11" x14ac:dyDescent="0.2">
      <c r="J18">
        <f>PctChange!B41</f>
        <v>0</v>
      </c>
      <c r="K18">
        <f>PctChange!C41</f>
        <v>-0.4</v>
      </c>
    </row>
    <row r="19" spans="10:11" x14ac:dyDescent="0.2">
      <c r="J19">
        <f>PctChange!B42</f>
        <v>-0.34782608695652173</v>
      </c>
      <c r="K19">
        <f>PctChange!C42</f>
        <v>0</v>
      </c>
    </row>
    <row r="20" spans="10:11" x14ac:dyDescent="0.2">
      <c r="J20">
        <f>PctChange!B43</f>
        <v>0</v>
      </c>
      <c r="K20">
        <f>PctChange!C43</f>
        <v>0</v>
      </c>
    </row>
    <row r="21" spans="10:11" x14ac:dyDescent="0.2">
      <c r="J21">
        <f>PctChange!B44</f>
        <v>-0.16666666666666666</v>
      </c>
      <c r="K21">
        <f>PctChange!C44</f>
        <v>-0.15151515151515152</v>
      </c>
    </row>
    <row r="22" spans="10:11" x14ac:dyDescent="0.2">
      <c r="J22">
        <f>PctChange!B45</f>
        <v>0</v>
      </c>
      <c r="K22">
        <f>PctChange!C45</f>
        <v>0</v>
      </c>
    </row>
    <row r="23" spans="10:11" x14ac:dyDescent="0.2">
      <c r="J23">
        <f>PctChange!B46</f>
        <v>0</v>
      </c>
      <c r="K23">
        <f>PctChange!C46</f>
        <v>0</v>
      </c>
    </row>
    <row r="24" spans="10:11" x14ac:dyDescent="0.2">
      <c r="J24">
        <f>PctChange!B47</f>
        <v>0.2</v>
      </c>
      <c r="K24">
        <f>PctChange!C47</f>
        <v>0</v>
      </c>
    </row>
    <row r="25" spans="10:11" x14ac:dyDescent="0.2">
      <c r="J25">
        <f>PctChange!B48</f>
        <v>0</v>
      </c>
      <c r="K25">
        <f>PctChange!C48</f>
        <v>0.17857142857142858</v>
      </c>
    </row>
    <row r="26" spans="10:11" x14ac:dyDescent="0.2">
      <c r="J26">
        <f>PctChange!B49</f>
        <v>3.3333333333333333E-2</v>
      </c>
      <c r="K26">
        <f>PctChange!C49</f>
        <v>0</v>
      </c>
    </row>
    <row r="27" spans="10:11" x14ac:dyDescent="0.2">
      <c r="J27">
        <f>PctChange!B50</f>
        <v>0</v>
      </c>
      <c r="K27">
        <f>PctChange!C50</f>
        <v>0</v>
      </c>
    </row>
    <row r="28" spans="10:11" x14ac:dyDescent="0.2">
      <c r="J28">
        <f>PctChange!B51</f>
        <v>-3.2258064516129031E-2</v>
      </c>
      <c r="K28">
        <f>PctChange!C51</f>
        <v>0</v>
      </c>
    </row>
    <row r="29" spans="10:11" x14ac:dyDescent="0.2">
      <c r="J29">
        <f>PctChange!B52</f>
        <v>0</v>
      </c>
      <c r="K29">
        <f>PctChange!C52</f>
        <v>0</v>
      </c>
    </row>
    <row r="30" spans="10:11" x14ac:dyDescent="0.2">
      <c r="J30">
        <f>PctChange!B53</f>
        <v>-0.13333333333333333</v>
      </c>
      <c r="K30">
        <f>PctChange!C53</f>
        <v>-9.0909090909090912E-2</v>
      </c>
    </row>
    <row r="31" spans="10:11" x14ac:dyDescent="0.2">
      <c r="J31">
        <f>PctChange!B54</f>
        <v>-0.11538461538461539</v>
      </c>
      <c r="K31">
        <f>PctChange!C54</f>
        <v>-0.1</v>
      </c>
    </row>
    <row r="32" spans="10:11" x14ac:dyDescent="0.2">
      <c r="J32">
        <f>PctChange!B55</f>
        <v>0.12173913043478261</v>
      </c>
      <c r="K32">
        <f>PctChange!C55</f>
        <v>7.4074074074074077E-3</v>
      </c>
    </row>
    <row r="33" spans="10:11" x14ac:dyDescent="0.2">
      <c r="J33">
        <f>PctChange!B56</f>
        <v>-3.1007751937984496E-2</v>
      </c>
      <c r="K33">
        <f>PctChange!C56</f>
        <v>1.8382352941176471E-2</v>
      </c>
    </row>
    <row r="34" spans="10:11" x14ac:dyDescent="0.2">
      <c r="J34">
        <f>PctChange!B57</f>
        <v>-8.4000000000000005E-2</v>
      </c>
      <c r="K34">
        <f>PctChange!C57</f>
        <v>-9.0252707581227443E-2</v>
      </c>
    </row>
    <row r="35" spans="10:11" x14ac:dyDescent="0.2">
      <c r="J35">
        <f>PctChange!B58</f>
        <v>0.13100436681222707</v>
      </c>
      <c r="K35">
        <f>PctChange!C58</f>
        <v>7.1428571428571425E-2</v>
      </c>
    </row>
    <row r="36" spans="10:11" x14ac:dyDescent="0.2">
      <c r="J36">
        <f>PctChange!B59</f>
        <v>2.3166023166023165E-2</v>
      </c>
      <c r="K36">
        <f>PctChange!C59</f>
        <v>0</v>
      </c>
    </row>
    <row r="37" spans="10:11" x14ac:dyDescent="0.2">
      <c r="J37">
        <f>PctChange!B60</f>
        <v>-7.9245283018867921E-2</v>
      </c>
      <c r="K37">
        <f>PctChange!C60</f>
        <v>0</v>
      </c>
    </row>
    <row r="38" spans="10:11" x14ac:dyDescent="0.2">
      <c r="J38">
        <f>PctChange!B61</f>
        <v>0.13114754098360656</v>
      </c>
      <c r="K38">
        <f>PctChange!C61</f>
        <v>0.11481481481481481</v>
      </c>
    </row>
    <row r="39" spans="10:11" x14ac:dyDescent="0.2">
      <c r="J39">
        <f>PctChange!B62</f>
        <v>0.11594202898550725</v>
      </c>
      <c r="K39">
        <f>PctChange!C62</f>
        <v>2.9900332225913623E-2</v>
      </c>
    </row>
    <row r="40" spans="10:11" x14ac:dyDescent="0.2">
      <c r="J40">
        <f>PctChange!B63</f>
        <v>-2.2727272727272728E-2</v>
      </c>
      <c r="K40">
        <f>PctChange!C63</f>
        <v>3.2258064516129032E-3</v>
      </c>
    </row>
    <row r="41" spans="10:11" x14ac:dyDescent="0.2">
      <c r="J41">
        <f>PctChange!B64</f>
        <v>1.3289036544850499E-2</v>
      </c>
      <c r="K41">
        <f>PctChange!C64</f>
        <v>1.2861736334405145E-2</v>
      </c>
    </row>
    <row r="42" spans="10:11" x14ac:dyDescent="0.2">
      <c r="J42">
        <f>PctChange!B65</f>
        <v>5.2459016393442623E-2</v>
      </c>
      <c r="K42">
        <f>PctChange!C65</f>
        <v>3.1746031746031744E-2</v>
      </c>
    </row>
    <row r="43" spans="10:11" x14ac:dyDescent="0.2">
      <c r="J43">
        <f>PctChange!B66</f>
        <v>-4.0498442367601244E-2</v>
      </c>
      <c r="K43">
        <f>PctChange!C66</f>
        <v>-3.0769230769230771E-2</v>
      </c>
    </row>
    <row r="44" spans="10:11" x14ac:dyDescent="0.2">
      <c r="J44">
        <f>PctChange!B67</f>
        <v>0</v>
      </c>
      <c r="K44">
        <f>PctChange!C67</f>
        <v>1.5873015873015872E-2</v>
      </c>
    </row>
    <row r="45" spans="10:11" x14ac:dyDescent="0.2">
      <c r="J45">
        <f>PctChange!B68</f>
        <v>0.20129870129870131</v>
      </c>
      <c r="K45">
        <f>PctChange!C68</f>
        <v>0.15625</v>
      </c>
    </row>
    <row r="46" spans="10:11" x14ac:dyDescent="0.2">
      <c r="J46">
        <f>PctChange!B69</f>
        <v>8.1081081081081086E-3</v>
      </c>
      <c r="K46">
        <f>PctChange!C69</f>
        <v>5.675675675675676E-2</v>
      </c>
    </row>
    <row r="47" spans="10:11" x14ac:dyDescent="0.2">
      <c r="J47">
        <f>PctChange!B70</f>
        <v>5.3619302949061663E-3</v>
      </c>
      <c r="K47">
        <f>PctChange!C70</f>
        <v>5.1150895140664961E-2</v>
      </c>
    </row>
    <row r="48" spans="10:11" x14ac:dyDescent="0.2">
      <c r="J48">
        <f>PctChange!B71</f>
        <v>-0.12533333333333332</v>
      </c>
      <c r="K48">
        <f>PctChange!C71</f>
        <v>-0.12408759124087591</v>
      </c>
    </row>
    <row r="49" spans="10:11" x14ac:dyDescent="0.2">
      <c r="J49">
        <f>PctChange!B72</f>
        <v>0</v>
      </c>
      <c r="K49">
        <f>PctChange!C72</f>
        <v>0</v>
      </c>
    </row>
    <row r="50" spans="10:11" x14ac:dyDescent="0.2">
      <c r="J50">
        <f>PctChange!B73</f>
        <v>5.4878048780487805E-2</v>
      </c>
      <c r="K50">
        <f>PctChange!C73</f>
        <v>2.7777777777777779E-3</v>
      </c>
    </row>
    <row r="51" spans="10:11" x14ac:dyDescent="0.2">
      <c r="J51">
        <f>PctChange!B74</f>
        <v>5.7803468208092483E-3</v>
      </c>
      <c r="K51">
        <f>PctChange!C74</f>
        <v>8.3102493074792248E-3</v>
      </c>
    </row>
    <row r="52" spans="10:11" x14ac:dyDescent="0.2">
      <c r="J52">
        <f>PctChange!B75</f>
        <v>0.3692456896551724</v>
      </c>
      <c r="K52">
        <f>PctChange!C75</f>
        <v>0.40589285714285717</v>
      </c>
    </row>
    <row r="53" spans="10:11" x14ac:dyDescent="0.2">
      <c r="J53">
        <f>PctChange!B76</f>
        <v>0.15879936410999002</v>
      </c>
      <c r="K53">
        <f>PctChange!C76</f>
        <v>0.25831713060215533</v>
      </c>
    </row>
    <row r="54" spans="10:11" x14ac:dyDescent="0.2">
      <c r="J54">
        <f>PctChange!B77</f>
        <v>9.352820262059354E-2</v>
      </c>
      <c r="K54">
        <f>PctChange!C77</f>
        <v>0.10099815587692894</v>
      </c>
    </row>
    <row r="55" spans="10:11" x14ac:dyDescent="0.2">
      <c r="J55">
        <f>PctChange!B78</f>
        <v>-0.13963958741851723</v>
      </c>
      <c r="K55">
        <f>PctChange!C78</f>
        <v>-0.18692011272627762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/>
  </sheetViews>
  <sheetFormatPr baseColWidth="10" defaultColWidth="8.83203125" defaultRowHeight="15" x14ac:dyDescent="0.2"/>
  <sheetData>
    <row r="1" spans="1:4" x14ac:dyDescent="0.2">
      <c r="A1" t="s">
        <v>19</v>
      </c>
      <c r="B1" t="s">
        <v>20</v>
      </c>
      <c r="C1" t="s">
        <v>21</v>
      </c>
      <c r="D1" t="s">
        <v>22</v>
      </c>
    </row>
    <row r="2" spans="1:4" x14ac:dyDescent="0.2">
      <c r="A2" t="s">
        <v>1</v>
      </c>
      <c r="B2">
        <f>Input!B79</f>
        <v>463.16500000000002</v>
      </c>
      <c r="C2">
        <f>Regression!D5*PctChange!B79+Regression!E5*PctChange!C79+Regression!F5</f>
        <v>-1.7290643121434558E-2</v>
      </c>
      <c r="D2">
        <f>B2*(1+C2)</f>
        <v>455.15657927866079</v>
      </c>
    </row>
    <row r="3" spans="1:4" x14ac:dyDescent="0.2">
      <c r="A3" t="s">
        <v>2</v>
      </c>
      <c r="B3">
        <f>Input!C79</f>
        <v>475.64499999999998</v>
      </c>
      <c r="C3">
        <f>Regression!D6*PctChange!B79+Regression!E6*PctChange!C79+Regression!F6</f>
        <v>-5.1056466218897256E-2</v>
      </c>
      <c r="D3">
        <f>B3*(1+C3)</f>
        <v>451.36024712531258</v>
      </c>
    </row>
    <row r="4" spans="1:4" x14ac:dyDescent="0.2">
      <c r="A4" t="s">
        <v>8</v>
      </c>
      <c r="B4">
        <f>Input!I78</f>
        <v>950.31</v>
      </c>
      <c r="C4">
        <f>Regression!D3*PctChange!H77+Regression!E3</f>
        <v>4.5505332940758668E-6</v>
      </c>
      <c r="D4">
        <f>B4*(1+C4)</f>
        <v>950.31432441729476</v>
      </c>
    </row>
    <row r="5" spans="1:4" x14ac:dyDescent="0.2">
      <c r="A5" t="s">
        <v>10</v>
      </c>
      <c r="B5">
        <f>Input!K78</f>
        <v>3576.69</v>
      </c>
      <c r="C5">
        <f>Regression!D2*PctChange!K78+Regression!E2</f>
        <v>1.33713292911147E-3</v>
      </c>
      <c r="D5">
        <f>B5*(1+C5)</f>
        <v>3581.4725099762236</v>
      </c>
    </row>
    <row r="6" spans="1:4" x14ac:dyDescent="0.2">
      <c r="A6" t="s">
        <v>23</v>
      </c>
      <c r="B6" t="s">
        <v>24</v>
      </c>
      <c r="C6" t="s">
        <v>24</v>
      </c>
      <c r="D6">
        <f>D4*D5*(1+Input!M2)</f>
        <v>3499504.023267556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tabSelected="1" zoomScale="150" workbookViewId="0">
      <selection activeCell="D2" sqref="D2"/>
    </sheetView>
  </sheetViews>
  <sheetFormatPr baseColWidth="10" defaultColWidth="8.83203125" defaultRowHeight="15" x14ac:dyDescent="0.2"/>
  <cols>
    <col min="1" max="1" width="30" customWidth="1"/>
    <col min="2" max="2" width="16" customWidth="1"/>
    <col min="3" max="3" width="20" customWidth="1"/>
    <col min="4" max="4" width="22.83203125" bestFit="1" customWidth="1"/>
    <col min="5" max="5" width="47.1640625" bestFit="1" customWidth="1"/>
    <col min="6" max="6" width="18" customWidth="1"/>
  </cols>
  <sheetData>
    <row r="1" spans="1:6" x14ac:dyDescent="0.2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</row>
    <row r="2" spans="1:6" x14ac:dyDescent="0.2">
      <c r="A2" t="s">
        <v>1</v>
      </c>
      <c r="B2">
        <f>Input!B79</f>
        <v>463.16500000000002</v>
      </c>
      <c r="C2">
        <f>Forecast!D2</f>
        <v>455.15657927866079</v>
      </c>
      <c r="D2" t="str">
        <f>TEXT(C2*(1-$F2),"#,##0.0")&amp;" - "&amp;TEXT(C2*(1+$F2),"#,##0.0")</f>
        <v>412.4 - 497.9</v>
      </c>
      <c r="E2" s="2">
        <f>F2</f>
        <v>9.4E-2</v>
      </c>
      <c r="F2">
        <v>9.4E-2</v>
      </c>
    </row>
    <row r="3" spans="1:6" x14ac:dyDescent="0.2">
      <c r="A3" t="s">
        <v>2</v>
      </c>
      <c r="B3">
        <f>Input!C79</f>
        <v>475.64499999999998</v>
      </c>
      <c r="C3">
        <f>Forecast!D3</f>
        <v>451.36024712531258</v>
      </c>
      <c r="D3" t="str">
        <f>TEXT(C3*(1-$F3),"#,##0.0")&amp;" - "&amp;TEXT(C3*(1+$F3),"#,##0.0")</f>
        <v>406.2 - 496.5</v>
      </c>
      <c r="E3" s="2">
        <f>F3</f>
        <v>0.1</v>
      </c>
      <c r="F3">
        <v>0.1</v>
      </c>
    </row>
    <row r="4" spans="1:6" x14ac:dyDescent="0.2">
      <c r="A4" t="s">
        <v>31</v>
      </c>
      <c r="B4">
        <f>Input!I78</f>
        <v>950.31</v>
      </c>
      <c r="C4">
        <f>Forecast!D4</f>
        <v>950.31432441729476</v>
      </c>
      <c r="D4" t="str">
        <f>TEXT(C4*(1-$F4),"#,##0.0")&amp;" - "&amp;TEXT(C4*(1+$F4),"#,##0.0")</f>
        <v>918.0 - 982.6</v>
      </c>
      <c r="E4" s="2">
        <f>F4</f>
        <v>3.4000000000000002E-2</v>
      </c>
      <c r="F4">
        <v>3.4000000000000002E-2</v>
      </c>
    </row>
    <row r="5" spans="1:6" x14ac:dyDescent="0.2">
      <c r="A5" t="s">
        <v>32</v>
      </c>
      <c r="B5">
        <f>Input!K78</f>
        <v>3576.69</v>
      </c>
      <c r="C5">
        <f>Forecast!D5</f>
        <v>3581.4725099762236</v>
      </c>
      <c r="D5" t="str">
        <f>TEXT(C5*(1-$F5),"#,##0.0")&amp;" - "&amp;TEXT(C5*(1+$F5),"#,##0.0")</f>
        <v>3,572.5 - 3,590.4</v>
      </c>
      <c r="E5" s="2">
        <f>F5</f>
        <v>2.5000000000000001E-3</v>
      </c>
      <c r="F5">
        <v>2.5000000000000001E-3</v>
      </c>
    </row>
    <row r="6" spans="1:6" x14ac:dyDescent="0.2">
      <c r="A6" t="s">
        <v>33</v>
      </c>
      <c r="B6">
        <f>Input!I78*Input!K78*(1+Input!M2)</f>
        <v>3494815.0664239801</v>
      </c>
      <c r="C6">
        <f>Forecast!D6</f>
        <v>3499504.023267556</v>
      </c>
      <c r="D6" t="str">
        <f>TEXT(C6*(1-$F6),"#,##0.0")&amp;" - "&amp;TEXT(C6*(1+$F6),"#,##0.0")</f>
        <v>3,175,799.9 - 3,823,208.1</v>
      </c>
      <c r="E6" s="2">
        <f>F6</f>
        <v>9.2499999999999999E-2</v>
      </c>
      <c r="F6">
        <v>9.2499999999999999E-2</v>
      </c>
    </row>
    <row r="8" spans="1:6" ht="60" customHeight="1" x14ac:dyDescent="0.2">
      <c r="A8" s="3" t="s">
        <v>34</v>
      </c>
      <c r="B8" s="4"/>
      <c r="C8" s="4"/>
      <c r="D8" s="4"/>
      <c r="E8" s="4"/>
    </row>
  </sheetData>
  <mergeCells count="1">
    <mergeCell ref="A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</vt:lpstr>
      <vt:lpstr>PctChange</vt:lpstr>
      <vt:lpstr>Regression</vt:lpstr>
      <vt:lpstr>Forecast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2026-08-20T05:42:59Z</dcterms:created>
  <dcterms:modified xsi:type="dcterms:W3CDTF">2026-08-20T05:46:16Z</dcterms:modified>
</cp:coreProperties>
</file>