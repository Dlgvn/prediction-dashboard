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llicomn-my.sharepoint.com/personal/narantungalag_d_mera_mn/Documents/MERA-Planning Team/Ичинхорлоо файл/Макро/weekly/"/>
    </mc:Choice>
  </mc:AlternateContent>
  <xr:revisionPtr revIDLastSave="1492" documentId="8_{81644BBD-5666-423A-BBBA-902C34D45E67}" xr6:coauthVersionLast="47" xr6:coauthVersionMax="47" xr10:uidLastSave="{5F3DC70B-AC99-4B34-AC8D-B93907B7A8A5}"/>
  <bookViews>
    <workbookView minimized="1" xWindow="732" yWindow="732" windowWidth="16020" windowHeight="11232" firstSheet="1" activeTab="1" xr2:uid="{11F42E74-22C3-405B-A75C-5CF5A8EC37D5}"/>
  </bookViews>
  <sheets>
    <sheet name="Sheet1" sheetId="1" state="hidden" r:id="rId1"/>
    <sheet name="month-unelgee" sheetId="12" r:id="rId2"/>
    <sheet name="weekly-forecast" sheetId="5" r:id="rId3"/>
    <sheet name="monthly-forecast" sheetId="20" r:id="rId4"/>
    <sheet name="month-unelgee (2)" sheetId="18" state="hidden" r:id="rId5"/>
    <sheet name="data" sheetId="2" r:id="rId6"/>
    <sheet name="Sheet2" sheetId="16" state="hidden" r:id="rId7"/>
    <sheet name="granger" sheetId="13" state="hidden" r:id="rId8"/>
  </sheets>
  <definedNames>
    <definedName name="_xlnm._FilterDatabase" localSheetId="3" hidden="1">'monthly-forecast'!$A$2:$K$2</definedName>
    <definedName name="_xlnm._FilterDatabase" localSheetId="1" hidden="1">'month-unelgee'!$B$2:$B$50</definedName>
    <definedName name="_xlnm._FilterDatabase" localSheetId="4" hidden="1">'month-unelgee (2)'!$B$2:$B$49</definedName>
    <definedName name="_xlnm._FilterDatabase" localSheetId="2" hidden="1">'weekly-forecast'!$A$2:$I$2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data!$F$18</definedName>
    <definedName name="solver_typ" localSheetId="5" hidden="1">1</definedName>
    <definedName name="solver_val" localSheetId="5" hidden="1">0</definedName>
    <definedName name="solver_ver" localSheetId="5" hidden="1">3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2" l="1"/>
  <c r="K3" i="12"/>
  <c r="M3" i="5"/>
  <c r="K3" i="5"/>
  <c r="Y7" i="5"/>
  <c r="Q7" i="5"/>
  <c r="R7" i="5"/>
  <c r="S7" i="5"/>
  <c r="T7" i="5"/>
  <c r="V7" i="5"/>
  <c r="W7" i="5"/>
  <c r="X7" i="5"/>
  <c r="Z7" i="5"/>
  <c r="AA7" i="5"/>
  <c r="AC7" i="5"/>
  <c r="AD7" i="5"/>
  <c r="AE7" i="5"/>
  <c r="AF7" i="5"/>
  <c r="AG7" i="5"/>
  <c r="AH7" i="5"/>
  <c r="AI7" i="5"/>
  <c r="AJ7" i="5"/>
  <c r="AK7" i="5"/>
  <c r="Q8" i="5"/>
  <c r="Q9" i="5"/>
  <c r="R8" i="5"/>
  <c r="S8" i="5"/>
  <c r="T8" i="5"/>
  <c r="V8" i="5"/>
  <c r="W8" i="5"/>
  <c r="X8" i="5"/>
  <c r="Y8" i="5"/>
  <c r="Z8" i="5"/>
  <c r="AA8" i="5"/>
  <c r="AC8" i="5"/>
  <c r="AD8" i="5"/>
  <c r="AE8" i="5"/>
  <c r="AF8" i="5"/>
  <c r="AG8" i="5"/>
  <c r="AH8" i="5"/>
  <c r="AI8" i="5"/>
  <c r="AJ8" i="5"/>
  <c r="AK8" i="5"/>
  <c r="R9" i="5"/>
  <c r="S9" i="5"/>
  <c r="T9" i="5"/>
  <c r="V9" i="5"/>
  <c r="W9" i="5"/>
  <c r="X9" i="5"/>
  <c r="Y9" i="5"/>
  <c r="Z9" i="5"/>
  <c r="AA9" i="5"/>
  <c r="AC9" i="5"/>
  <c r="AD9" i="5"/>
  <c r="AE9" i="5"/>
  <c r="AF9" i="5"/>
  <c r="AG9" i="5"/>
  <c r="AH9" i="5"/>
  <c r="AI9" i="5"/>
  <c r="AJ9" i="5"/>
  <c r="AK9" i="5"/>
  <c r="Q10" i="5"/>
  <c r="R10" i="5"/>
  <c r="S10" i="5"/>
  <c r="T10" i="5"/>
  <c r="V10" i="5"/>
  <c r="W10" i="5"/>
  <c r="X10" i="5"/>
  <c r="Y10" i="5"/>
  <c r="Z10" i="5"/>
  <c r="AA10" i="5"/>
  <c r="AC10" i="5"/>
  <c r="AD10" i="5"/>
  <c r="AE10" i="5"/>
  <c r="AF10" i="5"/>
  <c r="AG10" i="5"/>
  <c r="AH10" i="5"/>
  <c r="AI10" i="5"/>
  <c r="AJ10" i="5"/>
  <c r="AK10" i="5"/>
  <c r="L6" i="20"/>
  <c r="P10" i="20"/>
  <c r="L10" i="20"/>
  <c r="D6" i="5"/>
  <c r="D8" i="20"/>
  <c r="D9" i="20"/>
  <c r="D10" i="20"/>
  <c r="E7" i="20"/>
  <c r="O6" i="20" s="1"/>
  <c r="E11" i="5"/>
  <c r="D11" i="5"/>
  <c r="P3" i="5"/>
  <c r="P7" i="5"/>
  <c r="O7" i="5"/>
  <c r="N7" i="5"/>
  <c r="M7" i="5"/>
  <c r="N3" i="5"/>
  <c r="O3" i="5"/>
  <c r="E9" i="20"/>
  <c r="O10" i="20"/>
  <c r="N10" i="20"/>
  <c r="E8" i="20"/>
  <c r="A4" i="20"/>
  <c r="A3" i="20" s="1"/>
  <c r="A5" i="20"/>
  <c r="B5" i="20"/>
  <c r="C5" i="20"/>
  <c r="P6" i="20"/>
  <c r="Q6" i="20"/>
  <c r="R6" i="20"/>
  <c r="S6" i="20"/>
  <c r="E20" i="5"/>
  <c r="E19" i="5" s="1"/>
  <c r="E18" i="5" s="1"/>
  <c r="E17" i="5" s="1"/>
  <c r="E16" i="5" s="1"/>
  <c r="E15" i="5" s="1"/>
  <c r="E14" i="5" s="1"/>
  <c r="E13" i="5" s="1"/>
  <c r="E12" i="5" s="1"/>
  <c r="E10" i="5" s="1"/>
  <c r="E9" i="5" s="1"/>
  <c r="E8" i="5" s="1"/>
  <c r="E23" i="20"/>
  <c r="M23" i="20" s="1"/>
  <c r="D20" i="5"/>
  <c r="D19" i="5" s="1"/>
  <c r="D18" i="5" s="1"/>
  <c r="D17" i="5" s="1"/>
  <c r="D16" i="5" s="1"/>
  <c r="D15" i="5" s="1"/>
  <c r="D14" i="5" s="1"/>
  <c r="D13" i="5" s="1"/>
  <c r="D12" i="5" s="1"/>
  <c r="D10" i="5" s="1"/>
  <c r="D9" i="5" s="1"/>
  <c r="D8" i="5" s="1"/>
  <c r="D7" i="5" s="1"/>
  <c r="D5" i="5" s="1"/>
  <c r="D4" i="5" s="1"/>
  <c r="D23" i="20"/>
  <c r="N23" i="20" s="1"/>
  <c r="AO27" i="5"/>
  <c r="AO31" i="5"/>
  <c r="F18" i="20"/>
  <c r="F17" i="20" s="1"/>
  <c r="F16" i="20" s="1"/>
  <c r="F15" i="20" s="1"/>
  <c r="F14" i="20" s="1"/>
  <c r="F13" i="20" s="1"/>
  <c r="F12" i="20" s="1"/>
  <c r="F11" i="20" s="1"/>
  <c r="F10" i="20" s="1"/>
  <c r="F9" i="20" s="1"/>
  <c r="G18" i="20"/>
  <c r="G17" i="20" s="1"/>
  <c r="G16" i="20" s="1"/>
  <c r="G15" i="20" s="1"/>
  <c r="G14" i="20" s="1"/>
  <c r="G13" i="20" s="1"/>
  <c r="G12" i="20" s="1"/>
  <c r="G11" i="20" s="1"/>
  <c r="G10" i="20" s="1"/>
  <c r="G9" i="20" s="1"/>
  <c r="P19" i="20"/>
  <c r="R14" i="20"/>
  <c r="Q14" i="20"/>
  <c r="C213" i="20"/>
  <c r="B213" i="20"/>
  <c r="C212" i="20"/>
  <c r="B212" i="20"/>
  <c r="C211" i="20"/>
  <c r="B211" i="20"/>
  <c r="S210" i="20"/>
  <c r="R210" i="20"/>
  <c r="Q210" i="20"/>
  <c r="P210" i="20"/>
  <c r="C210" i="20"/>
  <c r="B210" i="20"/>
  <c r="C209" i="20"/>
  <c r="B209" i="20"/>
  <c r="C208" i="20"/>
  <c r="B208" i="20"/>
  <c r="C207" i="20"/>
  <c r="B207" i="20"/>
  <c r="C206" i="20"/>
  <c r="B206" i="20"/>
  <c r="S205" i="20"/>
  <c r="R205" i="20"/>
  <c r="Q205" i="20"/>
  <c r="P205" i="20"/>
  <c r="C205" i="20"/>
  <c r="B205" i="20"/>
  <c r="C204" i="20"/>
  <c r="B204" i="20"/>
  <c r="C203" i="20"/>
  <c r="B203" i="20"/>
  <c r="C202" i="20"/>
  <c r="B202" i="20"/>
  <c r="S201" i="20"/>
  <c r="R201" i="20"/>
  <c r="Q201" i="20"/>
  <c r="P201" i="20"/>
  <c r="C201" i="20"/>
  <c r="B201" i="20"/>
  <c r="C200" i="20"/>
  <c r="B200" i="20"/>
  <c r="C199" i="20"/>
  <c r="B199" i="20"/>
  <c r="C198" i="20"/>
  <c r="B198" i="20"/>
  <c r="S197" i="20"/>
  <c r="R197" i="20"/>
  <c r="Q197" i="20"/>
  <c r="P197" i="20"/>
  <c r="C197" i="20"/>
  <c r="B197" i="20"/>
  <c r="C196" i="20"/>
  <c r="B196" i="20"/>
  <c r="C195" i="20"/>
  <c r="B195" i="20"/>
  <c r="C194" i="20"/>
  <c r="B194" i="20"/>
  <c r="C193" i="20"/>
  <c r="B193" i="20"/>
  <c r="S192" i="20"/>
  <c r="R192" i="20"/>
  <c r="Q192" i="20"/>
  <c r="P192" i="20"/>
  <c r="C192" i="20"/>
  <c r="B192" i="20"/>
  <c r="C191" i="20"/>
  <c r="B191" i="20"/>
  <c r="C190" i="20"/>
  <c r="B190" i="20"/>
  <c r="C189" i="20"/>
  <c r="B189" i="20"/>
  <c r="S188" i="20"/>
  <c r="R188" i="20"/>
  <c r="Q188" i="20"/>
  <c r="P188" i="20"/>
  <c r="C188" i="20"/>
  <c r="B188" i="20"/>
  <c r="C187" i="20"/>
  <c r="B187" i="20"/>
  <c r="C186" i="20"/>
  <c r="B186" i="20"/>
  <c r="C185" i="20"/>
  <c r="B185" i="20"/>
  <c r="S184" i="20"/>
  <c r="R184" i="20"/>
  <c r="Q184" i="20"/>
  <c r="P184" i="20"/>
  <c r="C184" i="20"/>
  <c r="B184" i="20"/>
  <c r="C183" i="20"/>
  <c r="B183" i="20"/>
  <c r="C182" i="20"/>
  <c r="B182" i="20"/>
  <c r="C181" i="20"/>
  <c r="B181" i="20"/>
  <c r="C180" i="20"/>
  <c r="B180" i="20"/>
  <c r="S179" i="20"/>
  <c r="R179" i="20"/>
  <c r="Q179" i="20"/>
  <c r="P179" i="20"/>
  <c r="C179" i="20"/>
  <c r="B179" i="20"/>
  <c r="C178" i="20"/>
  <c r="B178" i="20"/>
  <c r="C177" i="20"/>
  <c r="B177" i="20"/>
  <c r="C176" i="20"/>
  <c r="B176" i="20"/>
  <c r="S175" i="20"/>
  <c r="R175" i="20"/>
  <c r="Q175" i="20"/>
  <c r="P175" i="20"/>
  <c r="C175" i="20"/>
  <c r="B175" i="20"/>
  <c r="C174" i="20"/>
  <c r="B174" i="20"/>
  <c r="C173" i="20"/>
  <c r="B173" i="20"/>
  <c r="C172" i="20"/>
  <c r="B172" i="20"/>
  <c r="S171" i="20"/>
  <c r="R171" i="20"/>
  <c r="Q171" i="20"/>
  <c r="P171" i="20"/>
  <c r="C171" i="20"/>
  <c r="B171" i="20"/>
  <c r="C170" i="20"/>
  <c r="B170" i="20"/>
  <c r="C169" i="20"/>
  <c r="B169" i="20"/>
  <c r="C168" i="20"/>
  <c r="B168" i="20"/>
  <c r="C167" i="20"/>
  <c r="B167" i="20"/>
  <c r="S166" i="20"/>
  <c r="R166" i="20"/>
  <c r="Q166" i="20"/>
  <c r="P166" i="20"/>
  <c r="C166" i="20"/>
  <c r="B166" i="20"/>
  <c r="C165" i="20"/>
  <c r="B165" i="20"/>
  <c r="C164" i="20"/>
  <c r="B164" i="20"/>
  <c r="C163" i="20"/>
  <c r="B163" i="20"/>
  <c r="S162" i="20"/>
  <c r="R162" i="20"/>
  <c r="Q162" i="20"/>
  <c r="P162" i="20"/>
  <c r="C162" i="20"/>
  <c r="B162" i="20"/>
  <c r="C161" i="20"/>
  <c r="B161" i="20"/>
  <c r="C160" i="20"/>
  <c r="B160" i="20"/>
  <c r="C159" i="20"/>
  <c r="B159" i="20"/>
  <c r="S158" i="20"/>
  <c r="R158" i="20"/>
  <c r="Q158" i="20"/>
  <c r="P158" i="20"/>
  <c r="C158" i="20"/>
  <c r="B158" i="20"/>
  <c r="C157" i="20"/>
  <c r="B157" i="20"/>
  <c r="C156" i="20"/>
  <c r="B156" i="20"/>
  <c r="C155" i="20"/>
  <c r="B155" i="20"/>
  <c r="C154" i="20"/>
  <c r="B154" i="20"/>
  <c r="S153" i="20"/>
  <c r="R153" i="20"/>
  <c r="Q153" i="20"/>
  <c r="P153" i="20"/>
  <c r="C153" i="20"/>
  <c r="B153" i="20"/>
  <c r="C152" i="20"/>
  <c r="B152" i="20"/>
  <c r="C151" i="20"/>
  <c r="B151" i="20"/>
  <c r="C150" i="20"/>
  <c r="B150" i="20"/>
  <c r="S149" i="20"/>
  <c r="R149" i="20"/>
  <c r="Q149" i="20"/>
  <c r="P149" i="20"/>
  <c r="C149" i="20"/>
  <c r="B149" i="20"/>
  <c r="C148" i="20"/>
  <c r="B148" i="20"/>
  <c r="C147" i="20"/>
  <c r="B147" i="20"/>
  <c r="C146" i="20"/>
  <c r="B146" i="20"/>
  <c r="S145" i="20"/>
  <c r="R145" i="20"/>
  <c r="Q145" i="20"/>
  <c r="P145" i="20"/>
  <c r="C145" i="20"/>
  <c r="B145" i="20"/>
  <c r="C144" i="20"/>
  <c r="B144" i="20"/>
  <c r="C143" i="20"/>
  <c r="B143" i="20"/>
  <c r="C142" i="20"/>
  <c r="B142" i="20"/>
  <c r="C141" i="20"/>
  <c r="B141" i="20"/>
  <c r="S140" i="20"/>
  <c r="R140" i="20"/>
  <c r="Q140" i="20"/>
  <c r="P140" i="20"/>
  <c r="C140" i="20"/>
  <c r="B140" i="20"/>
  <c r="C139" i="20"/>
  <c r="B139" i="20"/>
  <c r="C138" i="20"/>
  <c r="B138" i="20"/>
  <c r="C137" i="20"/>
  <c r="B137" i="20"/>
  <c r="S136" i="20"/>
  <c r="R136" i="20"/>
  <c r="Q136" i="20"/>
  <c r="P136" i="20"/>
  <c r="C136" i="20"/>
  <c r="B136" i="20"/>
  <c r="C135" i="20"/>
  <c r="B135" i="20"/>
  <c r="C134" i="20"/>
  <c r="B134" i="20"/>
  <c r="C133" i="20"/>
  <c r="B133" i="20"/>
  <c r="S132" i="20"/>
  <c r="R132" i="20"/>
  <c r="Q132" i="20"/>
  <c r="P132" i="20"/>
  <c r="C132" i="20"/>
  <c r="B132" i="20"/>
  <c r="C131" i="20"/>
  <c r="B131" i="20"/>
  <c r="C130" i="20"/>
  <c r="B130" i="20"/>
  <c r="C129" i="20"/>
  <c r="B129" i="20"/>
  <c r="C128" i="20"/>
  <c r="B128" i="20"/>
  <c r="S127" i="20"/>
  <c r="R127" i="20"/>
  <c r="Q127" i="20"/>
  <c r="P127" i="20"/>
  <c r="C127" i="20"/>
  <c r="B127" i="20"/>
  <c r="C126" i="20"/>
  <c r="B126" i="20"/>
  <c r="C125" i="20"/>
  <c r="B125" i="20"/>
  <c r="C124" i="20"/>
  <c r="B124" i="20"/>
  <c r="S123" i="20"/>
  <c r="R123" i="20"/>
  <c r="Q123" i="20"/>
  <c r="P123" i="20"/>
  <c r="C123" i="20"/>
  <c r="B123" i="20"/>
  <c r="C122" i="20"/>
  <c r="B122" i="20"/>
  <c r="C121" i="20"/>
  <c r="B121" i="20"/>
  <c r="C120" i="20"/>
  <c r="B120" i="20"/>
  <c r="C119" i="20"/>
  <c r="B119" i="20"/>
  <c r="S118" i="20"/>
  <c r="R118" i="20"/>
  <c r="Q118" i="20"/>
  <c r="P118" i="20"/>
  <c r="C118" i="20"/>
  <c r="B118" i="20"/>
  <c r="C117" i="20"/>
  <c r="B117" i="20"/>
  <c r="C116" i="20"/>
  <c r="B116" i="20"/>
  <c r="C115" i="20"/>
  <c r="B115" i="20"/>
  <c r="S114" i="20"/>
  <c r="R114" i="20"/>
  <c r="Q114" i="20"/>
  <c r="P114" i="20"/>
  <c r="C114" i="20"/>
  <c r="B114" i="20"/>
  <c r="C113" i="20"/>
  <c r="B113" i="20"/>
  <c r="C112" i="20"/>
  <c r="B112" i="20"/>
  <c r="C111" i="20"/>
  <c r="B111" i="20"/>
  <c r="S110" i="20"/>
  <c r="R110" i="20"/>
  <c r="Q110" i="20"/>
  <c r="P110" i="20"/>
  <c r="C110" i="20"/>
  <c r="B110" i="20"/>
  <c r="C109" i="20"/>
  <c r="B109" i="20"/>
  <c r="C108" i="20"/>
  <c r="B108" i="20"/>
  <c r="C107" i="20"/>
  <c r="B107" i="20"/>
  <c r="C106" i="20"/>
  <c r="B106" i="20"/>
  <c r="S105" i="20"/>
  <c r="R105" i="20"/>
  <c r="Q105" i="20"/>
  <c r="P105" i="20"/>
  <c r="C105" i="20"/>
  <c r="B105" i="20"/>
  <c r="C104" i="20"/>
  <c r="B104" i="20"/>
  <c r="C103" i="20"/>
  <c r="B103" i="20"/>
  <c r="C102" i="20"/>
  <c r="B102" i="20"/>
  <c r="S101" i="20"/>
  <c r="R101" i="20"/>
  <c r="Q101" i="20"/>
  <c r="P101" i="20"/>
  <c r="C101" i="20"/>
  <c r="B101" i="20"/>
  <c r="C100" i="20"/>
  <c r="B100" i="20"/>
  <c r="C99" i="20"/>
  <c r="B99" i="20"/>
  <c r="C98" i="20"/>
  <c r="B98" i="20"/>
  <c r="S97" i="20"/>
  <c r="R97" i="20"/>
  <c r="Q97" i="20"/>
  <c r="P97" i="20"/>
  <c r="C97" i="20"/>
  <c r="B97" i="20"/>
  <c r="C96" i="20"/>
  <c r="B96" i="20"/>
  <c r="C95" i="20"/>
  <c r="B95" i="20"/>
  <c r="C94" i="20"/>
  <c r="B94" i="20"/>
  <c r="C93" i="20"/>
  <c r="B93" i="20"/>
  <c r="S92" i="20"/>
  <c r="R92" i="20"/>
  <c r="Q92" i="20"/>
  <c r="P92" i="20"/>
  <c r="C92" i="20"/>
  <c r="B92" i="20"/>
  <c r="C91" i="20"/>
  <c r="B91" i="20"/>
  <c r="C90" i="20"/>
  <c r="B90" i="20"/>
  <c r="C89" i="20"/>
  <c r="B89" i="20"/>
  <c r="S88" i="20"/>
  <c r="R88" i="20"/>
  <c r="Q88" i="20"/>
  <c r="P88" i="20"/>
  <c r="C88" i="20"/>
  <c r="B88" i="20"/>
  <c r="C87" i="20"/>
  <c r="B87" i="20"/>
  <c r="C86" i="20"/>
  <c r="B86" i="20"/>
  <c r="C85" i="20"/>
  <c r="B85" i="20"/>
  <c r="C84" i="20"/>
  <c r="B84" i="20"/>
  <c r="S83" i="20"/>
  <c r="R83" i="20"/>
  <c r="Q83" i="20"/>
  <c r="P83" i="20"/>
  <c r="C83" i="20"/>
  <c r="B83" i="20"/>
  <c r="C82" i="20"/>
  <c r="B82" i="20"/>
  <c r="C81" i="20"/>
  <c r="B81" i="20"/>
  <c r="C80" i="20"/>
  <c r="B80" i="20"/>
  <c r="S79" i="20"/>
  <c r="R79" i="20"/>
  <c r="Q79" i="20"/>
  <c r="P79" i="20"/>
  <c r="C79" i="20"/>
  <c r="B79" i="20"/>
  <c r="C78" i="20"/>
  <c r="B78" i="20"/>
  <c r="C77" i="20"/>
  <c r="B77" i="20"/>
  <c r="C76" i="20"/>
  <c r="B76" i="20"/>
  <c r="S75" i="20"/>
  <c r="R75" i="20"/>
  <c r="Q75" i="20"/>
  <c r="P75" i="20"/>
  <c r="C75" i="20"/>
  <c r="B75" i="20"/>
  <c r="C74" i="20"/>
  <c r="B74" i="20"/>
  <c r="C73" i="20"/>
  <c r="B73" i="20"/>
  <c r="C72" i="20"/>
  <c r="B72" i="20"/>
  <c r="S71" i="20"/>
  <c r="R71" i="20"/>
  <c r="Q71" i="20"/>
  <c r="P71" i="20"/>
  <c r="C71" i="20"/>
  <c r="B71" i="20"/>
  <c r="C70" i="20"/>
  <c r="B70" i="20"/>
  <c r="C69" i="20"/>
  <c r="B69" i="20"/>
  <c r="C68" i="20"/>
  <c r="B68" i="20"/>
  <c r="C67" i="20"/>
  <c r="B67" i="20"/>
  <c r="S66" i="20"/>
  <c r="R66" i="20"/>
  <c r="Q66" i="20"/>
  <c r="P66" i="20"/>
  <c r="C66" i="20"/>
  <c r="B66" i="20"/>
  <c r="C65" i="20"/>
  <c r="B65" i="20"/>
  <c r="C64" i="20"/>
  <c r="B64" i="20"/>
  <c r="C63" i="20"/>
  <c r="B63" i="20"/>
  <c r="S62" i="20"/>
  <c r="R62" i="20"/>
  <c r="Q62" i="20"/>
  <c r="P62" i="20"/>
  <c r="C62" i="20"/>
  <c r="B62" i="20"/>
  <c r="C61" i="20"/>
  <c r="B61" i="20"/>
  <c r="C60" i="20"/>
  <c r="B60" i="20"/>
  <c r="C59" i="20"/>
  <c r="B59" i="20"/>
  <c r="S58" i="20"/>
  <c r="R58" i="20"/>
  <c r="Q58" i="20"/>
  <c r="P58" i="20"/>
  <c r="C58" i="20"/>
  <c r="B58" i="20"/>
  <c r="C57" i="20"/>
  <c r="B57" i="20"/>
  <c r="C56" i="20"/>
  <c r="B56" i="20"/>
  <c r="C55" i="20"/>
  <c r="B55" i="20"/>
  <c r="C54" i="20"/>
  <c r="B54" i="20"/>
  <c r="S53" i="20"/>
  <c r="R53" i="20"/>
  <c r="Q53" i="20"/>
  <c r="P53" i="20"/>
  <c r="C53" i="20"/>
  <c r="B53" i="20"/>
  <c r="C52" i="20"/>
  <c r="B52" i="20"/>
  <c r="C51" i="20"/>
  <c r="B51" i="20"/>
  <c r="C50" i="20"/>
  <c r="B50" i="20"/>
  <c r="S49" i="20"/>
  <c r="R49" i="20"/>
  <c r="Q49" i="20"/>
  <c r="P49" i="20"/>
  <c r="C49" i="20"/>
  <c r="B49" i="20"/>
  <c r="C48" i="20"/>
  <c r="B48" i="20"/>
  <c r="C47" i="20"/>
  <c r="B47" i="20"/>
  <c r="C46" i="20"/>
  <c r="B46" i="20"/>
  <c r="C45" i="20"/>
  <c r="B45" i="20"/>
  <c r="S44" i="20"/>
  <c r="R44" i="20"/>
  <c r="Q44" i="20"/>
  <c r="P44" i="20"/>
  <c r="C44" i="20"/>
  <c r="B44" i="20"/>
  <c r="C43" i="20"/>
  <c r="B43" i="20"/>
  <c r="C42" i="20"/>
  <c r="B42" i="20"/>
  <c r="C41" i="20"/>
  <c r="B41" i="20"/>
  <c r="S40" i="20"/>
  <c r="R40" i="20"/>
  <c r="Q40" i="20"/>
  <c r="P40" i="20"/>
  <c r="C40" i="20"/>
  <c r="B40" i="20"/>
  <c r="C39" i="20"/>
  <c r="B39" i="20"/>
  <c r="C38" i="20"/>
  <c r="B38" i="20"/>
  <c r="C37" i="20"/>
  <c r="B37" i="20"/>
  <c r="S36" i="20"/>
  <c r="R36" i="20"/>
  <c r="Q36" i="20"/>
  <c r="P36" i="20"/>
  <c r="C36" i="20"/>
  <c r="B36" i="20"/>
  <c r="C35" i="20"/>
  <c r="B35" i="20"/>
  <c r="AE34" i="20"/>
  <c r="C34" i="20"/>
  <c r="B34" i="20"/>
  <c r="C33" i="20"/>
  <c r="B33" i="20"/>
  <c r="C32" i="20"/>
  <c r="B32" i="20"/>
  <c r="S31" i="20"/>
  <c r="R31" i="20"/>
  <c r="Q31" i="20"/>
  <c r="P31" i="20"/>
  <c r="C31" i="20"/>
  <c r="B31" i="20"/>
  <c r="AE30" i="20"/>
  <c r="C30" i="20"/>
  <c r="B30" i="20"/>
  <c r="AE29" i="20"/>
  <c r="AF29" i="20" s="1"/>
  <c r="AG29" i="20" s="1"/>
  <c r="AH29" i="20" s="1"/>
  <c r="AI29" i="20" s="1"/>
  <c r="AJ29" i="20" s="1"/>
  <c r="AK29" i="20" s="1"/>
  <c r="AL29" i="20" s="1"/>
  <c r="AM29" i="20" s="1"/>
  <c r="AN29" i="20" s="1"/>
  <c r="AO29" i="20" s="1"/>
  <c r="AP29" i="20" s="1"/>
  <c r="AQ29" i="20" s="1"/>
  <c r="AR29" i="20" s="1"/>
  <c r="C29" i="20"/>
  <c r="B29" i="20"/>
  <c r="C28" i="20"/>
  <c r="B28" i="20"/>
  <c r="S27" i="20"/>
  <c r="R27" i="20"/>
  <c r="Q27" i="20"/>
  <c r="P27" i="20"/>
  <c r="C27" i="20"/>
  <c r="B27" i="20"/>
  <c r="C26" i="20"/>
  <c r="B26" i="20"/>
  <c r="C25" i="20"/>
  <c r="B25" i="20"/>
  <c r="C24" i="20"/>
  <c r="B24" i="20"/>
  <c r="S23" i="20"/>
  <c r="R23" i="20"/>
  <c r="Q23" i="20"/>
  <c r="P23" i="20"/>
  <c r="A23" i="20"/>
  <c r="B23" i="20" s="1"/>
  <c r="S19" i="20"/>
  <c r="R19" i="20"/>
  <c r="Q19" i="20"/>
  <c r="C18" i="20"/>
  <c r="B18" i="20"/>
  <c r="C17" i="20"/>
  <c r="B17" i="20"/>
  <c r="C16" i="20"/>
  <c r="B16" i="20"/>
  <c r="C15" i="20"/>
  <c r="B15" i="20"/>
  <c r="S14" i="20"/>
  <c r="P14" i="20"/>
  <c r="C14" i="20"/>
  <c r="B14" i="20"/>
  <c r="C13" i="20"/>
  <c r="B13" i="20"/>
  <c r="A12" i="20"/>
  <c r="B12" i="20" s="1"/>
  <c r="S10" i="20"/>
  <c r="R10" i="20"/>
  <c r="Q10" i="20"/>
  <c r="P207" i="5"/>
  <c r="P202" i="5"/>
  <c r="P198" i="5"/>
  <c r="P194" i="5"/>
  <c r="P189" i="5"/>
  <c r="P185" i="5"/>
  <c r="P181" i="5"/>
  <c r="P176" i="5"/>
  <c r="P172" i="5"/>
  <c r="P168" i="5"/>
  <c r="P163" i="5"/>
  <c r="P159" i="5"/>
  <c r="P155" i="5"/>
  <c r="P150" i="5"/>
  <c r="P146" i="5"/>
  <c r="P142" i="5"/>
  <c r="P137" i="5"/>
  <c r="P133" i="5"/>
  <c r="P129" i="5"/>
  <c r="P124" i="5"/>
  <c r="P120" i="5"/>
  <c r="P115" i="5"/>
  <c r="P111" i="5"/>
  <c r="P107" i="5"/>
  <c r="P102" i="5"/>
  <c r="P98" i="5"/>
  <c r="P94" i="5"/>
  <c r="P89" i="5"/>
  <c r="P85" i="5"/>
  <c r="P80" i="5"/>
  <c r="P76" i="5"/>
  <c r="P72" i="5"/>
  <c r="P68" i="5"/>
  <c r="P63" i="5"/>
  <c r="P59" i="5"/>
  <c r="P55" i="5"/>
  <c r="P50" i="5"/>
  <c r="P46" i="5"/>
  <c r="P41" i="5"/>
  <c r="P37" i="5"/>
  <c r="P33" i="5"/>
  <c r="P28" i="5"/>
  <c r="P24" i="5"/>
  <c r="P20" i="5"/>
  <c r="P16" i="5"/>
  <c r="P11" i="5"/>
  <c r="O207" i="5"/>
  <c r="O202" i="5"/>
  <c r="O198" i="5"/>
  <c r="O194" i="5"/>
  <c r="O189" i="5"/>
  <c r="O185" i="5"/>
  <c r="O181" i="5"/>
  <c r="O176" i="5"/>
  <c r="O172" i="5"/>
  <c r="O168" i="5"/>
  <c r="O163" i="5"/>
  <c r="O159" i="5"/>
  <c r="O155" i="5"/>
  <c r="O150" i="5"/>
  <c r="O146" i="5"/>
  <c r="O142" i="5"/>
  <c r="O137" i="5"/>
  <c r="O133" i="5"/>
  <c r="O129" i="5"/>
  <c r="O124" i="5"/>
  <c r="O120" i="5"/>
  <c r="O115" i="5"/>
  <c r="O111" i="5"/>
  <c r="O107" i="5"/>
  <c r="O102" i="5"/>
  <c r="O98" i="5"/>
  <c r="O94" i="5"/>
  <c r="O89" i="5"/>
  <c r="O85" i="5"/>
  <c r="O80" i="5"/>
  <c r="O76" i="5"/>
  <c r="O72" i="5"/>
  <c r="O68" i="5"/>
  <c r="O63" i="5"/>
  <c r="O59" i="5"/>
  <c r="O55" i="5"/>
  <c r="O50" i="5"/>
  <c r="O46" i="5"/>
  <c r="O41" i="5"/>
  <c r="O37" i="5"/>
  <c r="O33" i="5"/>
  <c r="O28" i="5"/>
  <c r="O24" i="5"/>
  <c r="O20" i="5"/>
  <c r="O16" i="5"/>
  <c r="O11" i="5"/>
  <c r="N207" i="5"/>
  <c r="N202" i="5"/>
  <c r="N198" i="5"/>
  <c r="N194" i="5"/>
  <c r="N189" i="5"/>
  <c r="N185" i="5"/>
  <c r="N181" i="5"/>
  <c r="N176" i="5"/>
  <c r="N172" i="5"/>
  <c r="N168" i="5"/>
  <c r="N163" i="5"/>
  <c r="N159" i="5"/>
  <c r="N155" i="5"/>
  <c r="N150" i="5"/>
  <c r="N146" i="5"/>
  <c r="N142" i="5"/>
  <c r="N137" i="5"/>
  <c r="N133" i="5"/>
  <c r="N129" i="5"/>
  <c r="N124" i="5"/>
  <c r="N120" i="5"/>
  <c r="N115" i="5"/>
  <c r="N111" i="5"/>
  <c r="N107" i="5"/>
  <c r="N102" i="5"/>
  <c r="N98" i="5"/>
  <c r="N94" i="5"/>
  <c r="N89" i="5"/>
  <c r="N85" i="5"/>
  <c r="N80" i="5"/>
  <c r="N76" i="5"/>
  <c r="N72" i="5"/>
  <c r="N68" i="5"/>
  <c r="N63" i="5"/>
  <c r="N59" i="5"/>
  <c r="N55" i="5"/>
  <c r="N50" i="5"/>
  <c r="N46" i="5"/>
  <c r="N41" i="5"/>
  <c r="N37" i="5"/>
  <c r="N33" i="5"/>
  <c r="N28" i="5"/>
  <c r="N24" i="5"/>
  <c r="N20" i="5"/>
  <c r="N16" i="5"/>
  <c r="N11" i="5"/>
  <c r="M207" i="5"/>
  <c r="M202" i="5"/>
  <c r="M198" i="5"/>
  <c r="M194" i="5"/>
  <c r="M189" i="5"/>
  <c r="M185" i="5"/>
  <c r="M181" i="5"/>
  <c r="M176" i="5"/>
  <c r="M172" i="5"/>
  <c r="M168" i="5"/>
  <c r="M163" i="5"/>
  <c r="M159" i="5"/>
  <c r="M155" i="5"/>
  <c r="M150" i="5"/>
  <c r="M146" i="5"/>
  <c r="M142" i="5"/>
  <c r="M137" i="5"/>
  <c r="M133" i="5"/>
  <c r="M129" i="5"/>
  <c r="M124" i="5"/>
  <c r="M120" i="5"/>
  <c r="M115" i="5"/>
  <c r="M111" i="5"/>
  <c r="M107" i="5"/>
  <c r="M102" i="5"/>
  <c r="M98" i="5"/>
  <c r="M94" i="5"/>
  <c r="M89" i="5"/>
  <c r="M85" i="5"/>
  <c r="M80" i="5"/>
  <c r="M76" i="5"/>
  <c r="M72" i="5"/>
  <c r="M68" i="5"/>
  <c r="M63" i="5"/>
  <c r="M59" i="5"/>
  <c r="M55" i="5"/>
  <c r="M50" i="5"/>
  <c r="M46" i="5"/>
  <c r="M41" i="5"/>
  <c r="M37" i="5"/>
  <c r="M33" i="5"/>
  <c r="M28" i="5"/>
  <c r="M24" i="5"/>
  <c r="M20" i="5"/>
  <c r="M16" i="5"/>
  <c r="M11" i="5"/>
  <c r="R49" i="18"/>
  <c r="Q49" i="18"/>
  <c r="P49" i="18"/>
  <c r="O49" i="18"/>
  <c r="N49" i="18"/>
  <c r="M49" i="18"/>
  <c r="L49" i="18"/>
  <c r="R48" i="18"/>
  <c r="Q48" i="18"/>
  <c r="P48" i="18"/>
  <c r="O48" i="18"/>
  <c r="N48" i="18"/>
  <c r="M48" i="18"/>
  <c r="L48" i="18"/>
  <c r="R47" i="18"/>
  <c r="Q47" i="18"/>
  <c r="P47" i="18"/>
  <c r="O47" i="18"/>
  <c r="N47" i="18"/>
  <c r="M47" i="18"/>
  <c r="L47" i="18"/>
  <c r="R46" i="18"/>
  <c r="Q46" i="18"/>
  <c r="P46" i="18"/>
  <c r="O46" i="18"/>
  <c r="N46" i="18"/>
  <c r="M46" i="18"/>
  <c r="L46" i="18"/>
  <c r="R45" i="18"/>
  <c r="Q45" i="18"/>
  <c r="P45" i="18"/>
  <c r="O45" i="18"/>
  <c r="N45" i="18"/>
  <c r="M45" i="18"/>
  <c r="L45" i="18"/>
  <c r="R44" i="18"/>
  <c r="Q44" i="18"/>
  <c r="P44" i="18"/>
  <c r="O44" i="18"/>
  <c r="N44" i="18"/>
  <c r="M44" i="18"/>
  <c r="L44" i="18"/>
  <c r="R43" i="18"/>
  <c r="Q43" i="18"/>
  <c r="P43" i="18"/>
  <c r="O43" i="18"/>
  <c r="N43" i="18"/>
  <c r="M43" i="18"/>
  <c r="L43" i="18"/>
  <c r="R42" i="18"/>
  <c r="Q42" i="18"/>
  <c r="P42" i="18"/>
  <c r="O42" i="18"/>
  <c r="N42" i="18"/>
  <c r="M42" i="18"/>
  <c r="L42" i="18"/>
  <c r="R41" i="18"/>
  <c r="Q41" i="18"/>
  <c r="P41" i="18"/>
  <c r="O41" i="18"/>
  <c r="N41" i="18"/>
  <c r="M41" i="18"/>
  <c r="L41" i="18"/>
  <c r="R40" i="18"/>
  <c r="Q40" i="18"/>
  <c r="P40" i="18"/>
  <c r="O40" i="18"/>
  <c r="N40" i="18"/>
  <c r="M40" i="18"/>
  <c r="L40" i="18"/>
  <c r="R39" i="18"/>
  <c r="Q39" i="18"/>
  <c r="P39" i="18"/>
  <c r="O39" i="18"/>
  <c r="N39" i="18"/>
  <c r="M39" i="18"/>
  <c r="L39" i="18"/>
  <c r="R38" i="18"/>
  <c r="Q38" i="18"/>
  <c r="P38" i="18"/>
  <c r="O38" i="18"/>
  <c r="N38" i="18"/>
  <c r="M38" i="18"/>
  <c r="L38" i="18"/>
  <c r="R37" i="18"/>
  <c r="Q37" i="18"/>
  <c r="P37" i="18"/>
  <c r="O37" i="18"/>
  <c r="N37" i="18"/>
  <c r="M37" i="18"/>
  <c r="L37" i="18"/>
  <c r="R36" i="18"/>
  <c r="Q36" i="18"/>
  <c r="P36" i="18"/>
  <c r="O36" i="18"/>
  <c r="N36" i="18"/>
  <c r="M36" i="18"/>
  <c r="L36" i="18"/>
  <c r="R35" i="18"/>
  <c r="Q35" i="18"/>
  <c r="P35" i="18"/>
  <c r="O35" i="18"/>
  <c r="N35" i="18"/>
  <c r="M35" i="18"/>
  <c r="L35" i="18"/>
  <c r="R34" i="18"/>
  <c r="Q34" i="18"/>
  <c r="P34" i="18"/>
  <c r="O34" i="18"/>
  <c r="N34" i="18"/>
  <c r="M34" i="18"/>
  <c r="L34" i="18"/>
  <c r="R33" i="18"/>
  <c r="Q33" i="18"/>
  <c r="P33" i="18"/>
  <c r="O33" i="18"/>
  <c r="N33" i="18"/>
  <c r="M33" i="18"/>
  <c r="L33" i="18"/>
  <c r="V32" i="18"/>
  <c r="U32" i="18"/>
  <c r="R32" i="18"/>
  <c r="Q32" i="18"/>
  <c r="P32" i="18"/>
  <c r="O32" i="18"/>
  <c r="N32" i="18"/>
  <c r="M32" i="18"/>
  <c r="L32" i="18"/>
  <c r="R31" i="18"/>
  <c r="Q31" i="18"/>
  <c r="P31" i="18"/>
  <c r="O31" i="18"/>
  <c r="N31" i="18"/>
  <c r="M31" i="18"/>
  <c r="L31" i="18"/>
  <c r="AA30" i="18"/>
  <c r="W30" i="18"/>
  <c r="X30" i="18" s="1"/>
  <c r="U30" i="18"/>
  <c r="V30" i="18" s="1"/>
  <c r="R30" i="18"/>
  <c r="Q30" i="18"/>
  <c r="P30" i="18"/>
  <c r="O30" i="18"/>
  <c r="N30" i="18"/>
  <c r="M30" i="18"/>
  <c r="L30" i="18"/>
  <c r="R29" i="18"/>
  <c r="Q29" i="18"/>
  <c r="P29" i="18"/>
  <c r="O29" i="18"/>
  <c r="N29" i="18"/>
  <c r="M29" i="18"/>
  <c r="L29" i="18"/>
  <c r="R28" i="18"/>
  <c r="Q28" i="18"/>
  <c r="P28" i="18"/>
  <c r="O28" i="18"/>
  <c r="N28" i="18"/>
  <c r="M28" i="18"/>
  <c r="L28" i="18"/>
  <c r="R27" i="18"/>
  <c r="Q27" i="18"/>
  <c r="P27" i="18"/>
  <c r="O27" i="18"/>
  <c r="N27" i="18"/>
  <c r="M27" i="18"/>
  <c r="L27" i="18"/>
  <c r="R26" i="18"/>
  <c r="Q26" i="18"/>
  <c r="P26" i="18"/>
  <c r="O26" i="18"/>
  <c r="N26" i="18"/>
  <c r="M26" i="18"/>
  <c r="L26" i="18"/>
  <c r="R25" i="18"/>
  <c r="Q25" i="18"/>
  <c r="P25" i="18"/>
  <c r="O25" i="18"/>
  <c r="N25" i="18"/>
  <c r="M25" i="18"/>
  <c r="L25" i="18"/>
  <c r="R24" i="18"/>
  <c r="Q24" i="18"/>
  <c r="P24" i="18"/>
  <c r="O24" i="18"/>
  <c r="N24" i="18"/>
  <c r="M24" i="18"/>
  <c r="L24" i="18"/>
  <c r="R23" i="18"/>
  <c r="Q23" i="18"/>
  <c r="P23" i="18"/>
  <c r="O23" i="18"/>
  <c r="N23" i="18"/>
  <c r="M23" i="18"/>
  <c r="L23" i="18"/>
  <c r="R22" i="18"/>
  <c r="Q22" i="18"/>
  <c r="P22" i="18"/>
  <c r="O22" i="18"/>
  <c r="N22" i="18"/>
  <c r="M22" i="18"/>
  <c r="L22" i="18"/>
  <c r="R21" i="18"/>
  <c r="Q21" i="18"/>
  <c r="P21" i="18"/>
  <c r="O21" i="18"/>
  <c r="N21" i="18"/>
  <c r="M21" i="18"/>
  <c r="L21" i="18"/>
  <c r="R20" i="18"/>
  <c r="Q20" i="18"/>
  <c r="P20" i="18"/>
  <c r="O20" i="18"/>
  <c r="N20" i="18"/>
  <c r="M20" i="18"/>
  <c r="L20" i="18"/>
  <c r="R19" i="18"/>
  <c r="Q19" i="18"/>
  <c r="P19" i="18"/>
  <c r="O19" i="18"/>
  <c r="N19" i="18"/>
  <c r="M19" i="18"/>
  <c r="L19" i="18"/>
  <c r="R18" i="18"/>
  <c r="Q18" i="18"/>
  <c r="P18" i="18"/>
  <c r="O18" i="18"/>
  <c r="N18" i="18"/>
  <c r="M18" i="18"/>
  <c r="L18" i="18"/>
  <c r="R17" i="18"/>
  <c r="Q17" i="18"/>
  <c r="P17" i="18"/>
  <c r="O17" i="18"/>
  <c r="N17" i="18"/>
  <c r="M17" i="18"/>
  <c r="L17" i="18"/>
  <c r="AA16" i="18"/>
  <c r="Y16" i="18"/>
  <c r="Z16" i="18" s="1"/>
  <c r="W16" i="18"/>
  <c r="X16" i="18" s="1"/>
  <c r="U16" i="18"/>
  <c r="V16" i="18" s="1"/>
  <c r="R16" i="18"/>
  <c r="Q16" i="18"/>
  <c r="P16" i="18"/>
  <c r="O16" i="18"/>
  <c r="N16" i="18"/>
  <c r="M16" i="18"/>
  <c r="L16" i="18"/>
  <c r="R15" i="18"/>
  <c r="Q15" i="18"/>
  <c r="P15" i="18"/>
  <c r="O15" i="18"/>
  <c r="N15" i="18"/>
  <c r="M15" i="18"/>
  <c r="L15" i="18"/>
  <c r="R14" i="18"/>
  <c r="Q14" i="18"/>
  <c r="P14" i="18"/>
  <c r="O14" i="18"/>
  <c r="N14" i="18"/>
  <c r="M14" i="18"/>
  <c r="L14" i="18"/>
  <c r="R13" i="18"/>
  <c r="Q13" i="18"/>
  <c r="P13" i="18"/>
  <c r="O13" i="18"/>
  <c r="N13" i="18"/>
  <c r="M13" i="18"/>
  <c r="L13" i="18"/>
  <c r="R12" i="18"/>
  <c r="Q12" i="18"/>
  <c r="P12" i="18"/>
  <c r="O12" i="18"/>
  <c r="N12" i="18"/>
  <c r="M12" i="18"/>
  <c r="L12" i="18"/>
  <c r="R11" i="18"/>
  <c r="Q11" i="18"/>
  <c r="P11" i="18"/>
  <c r="O11" i="18"/>
  <c r="N11" i="18"/>
  <c r="M11" i="18"/>
  <c r="L11" i="18"/>
  <c r="R10" i="18"/>
  <c r="Q10" i="18"/>
  <c r="P10" i="18"/>
  <c r="O10" i="18"/>
  <c r="N10" i="18"/>
  <c r="M10" i="18"/>
  <c r="L10" i="18"/>
  <c r="R9" i="18"/>
  <c r="Q9" i="18"/>
  <c r="P9" i="18"/>
  <c r="O9" i="18"/>
  <c r="N9" i="18"/>
  <c r="M9" i="18"/>
  <c r="L9" i="18"/>
  <c r="R8" i="18"/>
  <c r="Q8" i="18"/>
  <c r="P8" i="18"/>
  <c r="O8" i="18"/>
  <c r="N8" i="18"/>
  <c r="M8" i="18"/>
  <c r="L8" i="18"/>
  <c r="R7" i="18"/>
  <c r="Q7" i="18"/>
  <c r="P7" i="18"/>
  <c r="O7" i="18"/>
  <c r="N7" i="18"/>
  <c r="M7" i="18"/>
  <c r="L7" i="18"/>
  <c r="R6" i="18"/>
  <c r="Q6" i="18"/>
  <c r="P6" i="18"/>
  <c r="O6" i="18"/>
  <c r="N6" i="18"/>
  <c r="M6" i="18"/>
  <c r="L6" i="18"/>
  <c r="Y30" i="18" s="1"/>
  <c r="Z30" i="18" s="1"/>
  <c r="O5" i="18"/>
  <c r="M5" i="18"/>
  <c r="O4" i="18"/>
  <c r="M4" i="18"/>
  <c r="O3" i="18"/>
  <c r="M3" i="18"/>
  <c r="Y31" i="12"/>
  <c r="U31" i="12"/>
  <c r="Y17" i="12"/>
  <c r="W17" i="12"/>
  <c r="C5" i="5"/>
  <c r="B6" i="5"/>
  <c r="C6" i="5"/>
  <c r="B7" i="5"/>
  <c r="C7" i="5"/>
  <c r="M5" i="12"/>
  <c r="M4" i="12"/>
  <c r="K4" i="12"/>
  <c r="K5" i="12"/>
  <c r="K6" i="12"/>
  <c r="M6" i="12"/>
  <c r="A9" i="5"/>
  <c r="A8" i="5" s="1"/>
  <c r="A7" i="5" s="1"/>
  <c r="A6" i="5" s="1"/>
  <c r="A5" i="5" s="1"/>
  <c r="A4" i="5" s="1"/>
  <c r="B4" i="5" s="1"/>
  <c r="AE11" i="5"/>
  <c r="AE17" i="5"/>
  <c r="X11" i="5"/>
  <c r="X12" i="5"/>
  <c r="X13" i="5"/>
  <c r="X14" i="5"/>
  <c r="X15" i="5"/>
  <c r="X16" i="5"/>
  <c r="R15" i="5"/>
  <c r="R16" i="5"/>
  <c r="R17" i="5"/>
  <c r="R18" i="5"/>
  <c r="Y14" i="5"/>
  <c r="Y15" i="5"/>
  <c r="Y16" i="5"/>
  <c r="Y11" i="5"/>
  <c r="T14" i="5"/>
  <c r="Q15" i="5"/>
  <c r="Q11" i="5"/>
  <c r="R11" i="5"/>
  <c r="S11" i="5"/>
  <c r="T11" i="5"/>
  <c r="Z11" i="5"/>
  <c r="AA11" i="5"/>
  <c r="AF11" i="5"/>
  <c r="AG11" i="5"/>
  <c r="AH11" i="5"/>
  <c r="AI11" i="5"/>
  <c r="Q12" i="5"/>
  <c r="R12" i="5"/>
  <c r="S12" i="5"/>
  <c r="T12" i="5"/>
  <c r="Y12" i="5"/>
  <c r="Z12" i="5"/>
  <c r="AA12" i="5"/>
  <c r="AE12" i="5"/>
  <c r="AF12" i="5"/>
  <c r="AG12" i="5"/>
  <c r="AH12" i="5"/>
  <c r="AI12" i="5"/>
  <c r="Q13" i="5"/>
  <c r="R13" i="5"/>
  <c r="S13" i="5"/>
  <c r="T13" i="5"/>
  <c r="Y13" i="5"/>
  <c r="Z13" i="5"/>
  <c r="AA13" i="5"/>
  <c r="AE13" i="5"/>
  <c r="AF13" i="5"/>
  <c r="AG13" i="5"/>
  <c r="AH13" i="5"/>
  <c r="AI13" i="5"/>
  <c r="Q14" i="5"/>
  <c r="R14" i="5"/>
  <c r="S14" i="5"/>
  <c r="Z14" i="5"/>
  <c r="AA14" i="5"/>
  <c r="AE14" i="5"/>
  <c r="AF14" i="5"/>
  <c r="AG14" i="5"/>
  <c r="AH14" i="5"/>
  <c r="AI14" i="5"/>
  <c r="S15" i="5"/>
  <c r="T15" i="5"/>
  <c r="Z15" i="5"/>
  <c r="AA15" i="5"/>
  <c r="AE15" i="5"/>
  <c r="AF15" i="5"/>
  <c r="AG15" i="5"/>
  <c r="AH15" i="5"/>
  <c r="AI15" i="5"/>
  <c r="Q16" i="5"/>
  <c r="S16" i="5"/>
  <c r="T16" i="5"/>
  <c r="Z16" i="5"/>
  <c r="AA16" i="5"/>
  <c r="AE16" i="5"/>
  <c r="AF16" i="5"/>
  <c r="AG16" i="5"/>
  <c r="AH16" i="5"/>
  <c r="AI16" i="5"/>
  <c r="B10" i="5"/>
  <c r="C10" i="5"/>
  <c r="B11" i="5"/>
  <c r="C11" i="5"/>
  <c r="B12" i="5"/>
  <c r="C12" i="5"/>
  <c r="B13" i="5"/>
  <c r="C13" i="5"/>
  <c r="B14" i="5"/>
  <c r="C14" i="5"/>
  <c r="B15" i="5"/>
  <c r="C15" i="5"/>
  <c r="U32" i="5"/>
  <c r="Q17" i="5"/>
  <c r="S17" i="5"/>
  <c r="T17" i="5"/>
  <c r="U17" i="5"/>
  <c r="X17" i="5"/>
  <c r="Y17" i="5"/>
  <c r="Z17" i="5"/>
  <c r="AA17" i="5"/>
  <c r="AF17" i="5"/>
  <c r="AG17" i="5"/>
  <c r="AH17" i="5"/>
  <c r="AI17" i="5"/>
  <c r="Q18" i="5"/>
  <c r="S18" i="5"/>
  <c r="T18" i="5"/>
  <c r="U18" i="5"/>
  <c r="X18" i="5"/>
  <c r="Y18" i="5"/>
  <c r="Z18" i="5"/>
  <c r="AA18" i="5"/>
  <c r="AB18" i="5"/>
  <c r="AE18" i="5"/>
  <c r="AF18" i="5"/>
  <c r="AG18" i="5"/>
  <c r="AH18" i="5"/>
  <c r="AI18" i="5"/>
  <c r="K7" i="5" l="1"/>
  <c r="E7" i="5"/>
  <c r="L7" i="5" s="1"/>
  <c r="B5" i="5"/>
  <c r="B8" i="5"/>
  <c r="D7" i="20"/>
  <c r="N6" i="20" s="1"/>
  <c r="B3" i="20"/>
  <c r="C3" i="20"/>
  <c r="C4" i="20"/>
  <c r="B4" i="20"/>
  <c r="L23" i="20"/>
  <c r="AF34" i="20"/>
  <c r="E62" i="20"/>
  <c r="G62" i="20" s="1"/>
  <c r="E68" i="20"/>
  <c r="G68" i="20" s="1"/>
  <c r="E82" i="20"/>
  <c r="G82" i="20" s="1"/>
  <c r="E130" i="20"/>
  <c r="G130" i="20" s="1"/>
  <c r="D150" i="20"/>
  <c r="F150" i="20" s="1"/>
  <c r="E158" i="20"/>
  <c r="G158" i="20" s="1"/>
  <c r="E164" i="20"/>
  <c r="G164" i="20" s="1"/>
  <c r="E57" i="20"/>
  <c r="G57" i="20" s="1"/>
  <c r="D77" i="20"/>
  <c r="F77" i="20" s="1"/>
  <c r="E91" i="20"/>
  <c r="G91" i="20" s="1"/>
  <c r="E105" i="20"/>
  <c r="G105" i="20" s="1"/>
  <c r="D111" i="20"/>
  <c r="F111" i="20" s="1"/>
  <c r="D139" i="20"/>
  <c r="F139" i="20" s="1"/>
  <c r="E173" i="20"/>
  <c r="G173" i="20" s="1"/>
  <c r="D201" i="20"/>
  <c r="F201" i="20" s="1"/>
  <c r="E32" i="20"/>
  <c r="G32" i="20" s="1"/>
  <c r="E22" i="20"/>
  <c r="E178" i="20"/>
  <c r="G178" i="20" s="1"/>
  <c r="D198" i="20"/>
  <c r="F198" i="20" s="1"/>
  <c r="O23" i="20"/>
  <c r="E31" i="20"/>
  <c r="G31" i="20" s="1"/>
  <c r="E64" i="20"/>
  <c r="G64" i="20" s="1"/>
  <c r="D84" i="20"/>
  <c r="F84" i="20" s="1"/>
  <c r="D92" i="20"/>
  <c r="F92" i="20" s="1"/>
  <c r="D126" i="20"/>
  <c r="F126" i="20" s="1"/>
  <c r="D174" i="20"/>
  <c r="F174" i="20" s="1"/>
  <c r="E180" i="20"/>
  <c r="G180" i="20" s="1"/>
  <c r="E188" i="20"/>
  <c r="G188" i="20" s="1"/>
  <c r="D194" i="20"/>
  <c r="F194" i="20" s="1"/>
  <c r="D22" i="20"/>
  <c r="D21" i="20" s="1"/>
  <c r="D20" i="20" s="1"/>
  <c r="D19" i="20" s="1"/>
  <c r="N19" i="20" s="1"/>
  <c r="AF30" i="20"/>
  <c r="AF36" i="20" s="1"/>
  <c r="AP31" i="5"/>
  <c r="K20" i="5"/>
  <c r="L20" i="5"/>
  <c r="AQ31" i="5"/>
  <c r="D66" i="20"/>
  <c r="F66" i="20" s="1"/>
  <c r="D72" i="20"/>
  <c r="F72" i="20" s="1"/>
  <c r="D86" i="20"/>
  <c r="F86" i="20" s="1"/>
  <c r="E134" i="20"/>
  <c r="G134" i="20" s="1"/>
  <c r="E154" i="20"/>
  <c r="G154" i="20" s="1"/>
  <c r="D162" i="20"/>
  <c r="F162" i="20" s="1"/>
  <c r="E182" i="20"/>
  <c r="G182" i="20" s="1"/>
  <c r="E196" i="20"/>
  <c r="G196" i="20" s="1"/>
  <c r="E202" i="20"/>
  <c r="G202" i="20" s="1"/>
  <c r="E210" i="20"/>
  <c r="G210" i="20" s="1"/>
  <c r="E199" i="20"/>
  <c r="G199" i="20" s="1"/>
  <c r="E213" i="20"/>
  <c r="G213" i="20" s="1"/>
  <c r="E172" i="20"/>
  <c r="G172" i="20" s="1"/>
  <c r="E186" i="20"/>
  <c r="G186" i="20" s="1"/>
  <c r="E206" i="20"/>
  <c r="G206" i="20" s="1"/>
  <c r="D27" i="20"/>
  <c r="F27" i="20" s="1"/>
  <c r="E51" i="20"/>
  <c r="G51" i="20" s="1"/>
  <c r="E79" i="20"/>
  <c r="D113" i="20"/>
  <c r="F113" i="20" s="1"/>
  <c r="E119" i="20"/>
  <c r="G119" i="20" s="1"/>
  <c r="D127" i="20"/>
  <c r="F127" i="20" s="1"/>
  <c r="E133" i="20"/>
  <c r="G133" i="20" s="1"/>
  <c r="E167" i="20"/>
  <c r="G167" i="20" s="1"/>
  <c r="D175" i="20"/>
  <c r="F175" i="20" s="1"/>
  <c r="E181" i="20"/>
  <c r="G181" i="20" s="1"/>
  <c r="E47" i="20"/>
  <c r="G47" i="20" s="1"/>
  <c r="E81" i="20"/>
  <c r="G81" i="20" s="1"/>
  <c r="D95" i="20"/>
  <c r="F95" i="20" s="1"/>
  <c r="E123" i="20"/>
  <c r="G123" i="20" s="1"/>
  <c r="E129" i="20"/>
  <c r="G129" i="20" s="1"/>
  <c r="D157" i="20"/>
  <c r="F157" i="20" s="1"/>
  <c r="D171" i="20"/>
  <c r="D177" i="20"/>
  <c r="F177" i="20" s="1"/>
  <c r="E191" i="20"/>
  <c r="G191" i="20" s="1"/>
  <c r="D211" i="20"/>
  <c r="F211" i="20" s="1"/>
  <c r="A11" i="20"/>
  <c r="A10" i="20" s="1"/>
  <c r="A9" i="20" s="1"/>
  <c r="E33" i="20"/>
  <c r="G33" i="20" s="1"/>
  <c r="E28" i="20"/>
  <c r="G28" i="20" s="1"/>
  <c r="E39" i="20"/>
  <c r="G39" i="20" s="1"/>
  <c r="E53" i="20"/>
  <c r="G53" i="20" s="1"/>
  <c r="E59" i="20"/>
  <c r="G59" i="20" s="1"/>
  <c r="E73" i="20"/>
  <c r="G73" i="20" s="1"/>
  <c r="E93" i="20"/>
  <c r="G93" i="20" s="1"/>
  <c r="D101" i="20"/>
  <c r="F101" i="20" s="1"/>
  <c r="E149" i="20"/>
  <c r="G149" i="20" s="1"/>
  <c r="E169" i="20"/>
  <c r="G169" i="20" s="1"/>
  <c r="D197" i="20"/>
  <c r="F197" i="20" s="1"/>
  <c r="E203" i="20"/>
  <c r="G203" i="20" s="1"/>
  <c r="D40" i="20"/>
  <c r="F40" i="20" s="1"/>
  <c r="D88" i="20"/>
  <c r="F88" i="20" s="1"/>
  <c r="D94" i="20"/>
  <c r="F94" i="20" s="1"/>
  <c r="E108" i="20"/>
  <c r="G108" i="20" s="1"/>
  <c r="D136" i="20"/>
  <c r="F136" i="20" s="1"/>
  <c r="E156" i="20"/>
  <c r="G156" i="20" s="1"/>
  <c r="E176" i="20"/>
  <c r="G176" i="20" s="1"/>
  <c r="E204" i="20"/>
  <c r="G204" i="20" s="1"/>
  <c r="D41" i="20"/>
  <c r="F41" i="20" s="1"/>
  <c r="D49" i="20"/>
  <c r="F49" i="20" s="1"/>
  <c r="D69" i="20"/>
  <c r="F69" i="20" s="1"/>
  <c r="E89" i="20"/>
  <c r="G89" i="20" s="1"/>
  <c r="E97" i="20"/>
  <c r="G97" i="20" s="1"/>
  <c r="E103" i="20"/>
  <c r="G103" i="20" s="1"/>
  <c r="E117" i="20"/>
  <c r="G117" i="20" s="1"/>
  <c r="E145" i="20"/>
  <c r="G145" i="20" s="1"/>
  <c r="E151" i="20"/>
  <c r="G151" i="20" s="1"/>
  <c r="D164" i="20"/>
  <c r="F164" i="20" s="1"/>
  <c r="E36" i="20"/>
  <c r="D42" i="20"/>
  <c r="F42" i="20" s="1"/>
  <c r="E70" i="20"/>
  <c r="G70" i="20" s="1"/>
  <c r="E76" i="20"/>
  <c r="G76" i="20" s="1"/>
  <c r="E124" i="20"/>
  <c r="G124" i="20" s="1"/>
  <c r="D132" i="20"/>
  <c r="F132" i="20" s="1"/>
  <c r="E138" i="20"/>
  <c r="G138" i="20" s="1"/>
  <c r="D152" i="20"/>
  <c r="F152" i="20" s="1"/>
  <c r="E94" i="20"/>
  <c r="G94" i="20" s="1"/>
  <c r="D163" i="20"/>
  <c r="F163" i="20" s="1"/>
  <c r="E161" i="20"/>
  <c r="G161" i="20" s="1"/>
  <c r="D52" i="20"/>
  <c r="F52" i="20" s="1"/>
  <c r="D91" i="20"/>
  <c r="F91" i="20" s="1"/>
  <c r="E142" i="20"/>
  <c r="G142" i="20" s="1"/>
  <c r="D160" i="20"/>
  <c r="F160" i="20" s="1"/>
  <c r="E197" i="20"/>
  <c r="G197" i="20" s="1"/>
  <c r="D196" i="20"/>
  <c r="F196" i="20" s="1"/>
  <c r="E65" i="20"/>
  <c r="G65" i="20" s="1"/>
  <c r="E116" i="20"/>
  <c r="G116" i="20" s="1"/>
  <c r="D135" i="20"/>
  <c r="F135" i="20" s="1"/>
  <c r="D155" i="20"/>
  <c r="F155" i="20" s="1"/>
  <c r="E27" i="20"/>
  <c r="G27" i="20" s="1"/>
  <c r="E92" i="20"/>
  <c r="G92" i="20" s="1"/>
  <c r="D182" i="20"/>
  <c r="F182" i="20" s="1"/>
  <c r="E193" i="20"/>
  <c r="G193" i="20" s="1"/>
  <c r="E179" i="20"/>
  <c r="G179" i="20" s="1"/>
  <c r="D50" i="20"/>
  <c r="F50" i="20" s="1"/>
  <c r="D108" i="20"/>
  <c r="F108" i="20" s="1"/>
  <c r="D105" i="20"/>
  <c r="F105" i="20" s="1"/>
  <c r="D29" i="20"/>
  <c r="F29" i="20" s="1"/>
  <c r="D71" i="20"/>
  <c r="F71" i="20" s="1"/>
  <c r="E201" i="20"/>
  <c r="G201" i="20" s="1"/>
  <c r="AF35" i="20"/>
  <c r="D208" i="20"/>
  <c r="F208" i="20" s="1"/>
  <c r="E44" i="20"/>
  <c r="G44" i="20" s="1"/>
  <c r="E55" i="20"/>
  <c r="G55" i="20" s="1"/>
  <c r="E106" i="20"/>
  <c r="G106" i="20" s="1"/>
  <c r="E114" i="20"/>
  <c r="G114" i="20" s="1"/>
  <c r="E125" i="20"/>
  <c r="G125" i="20" s="1"/>
  <c r="E153" i="20"/>
  <c r="G153" i="20" s="1"/>
  <c r="E157" i="20"/>
  <c r="G157" i="20" s="1"/>
  <c r="E150" i="20"/>
  <c r="G150" i="20" s="1"/>
  <c r="E208" i="20"/>
  <c r="G208" i="20" s="1"/>
  <c r="D110" i="20"/>
  <c r="F110" i="20" s="1"/>
  <c r="E112" i="20"/>
  <c r="G112" i="20" s="1"/>
  <c r="E113" i="20"/>
  <c r="G113" i="20" s="1"/>
  <c r="E127" i="20"/>
  <c r="G127" i="20" s="1"/>
  <c r="D128" i="20"/>
  <c r="F128" i="20" s="1"/>
  <c r="E147" i="20"/>
  <c r="G147" i="20" s="1"/>
  <c r="E207" i="20"/>
  <c r="G207" i="20" s="1"/>
  <c r="D179" i="20"/>
  <c r="F179" i="20" s="1"/>
  <c r="E50" i="20"/>
  <c r="G50" i="20" s="1"/>
  <c r="E88" i="20"/>
  <c r="G88" i="20" s="1"/>
  <c r="E160" i="20"/>
  <c r="G160" i="20" s="1"/>
  <c r="E194" i="20"/>
  <c r="G194" i="20" s="1"/>
  <c r="E101" i="20"/>
  <c r="G101" i="20" s="1"/>
  <c r="E58" i="20"/>
  <c r="G58" i="20" s="1"/>
  <c r="E135" i="20"/>
  <c r="G135" i="20" s="1"/>
  <c r="D138" i="20"/>
  <c r="F138" i="20" s="1"/>
  <c r="E155" i="20"/>
  <c r="G155" i="20" s="1"/>
  <c r="E45" i="20"/>
  <c r="G45" i="20" s="1"/>
  <c r="D117" i="20"/>
  <c r="F117" i="20" s="1"/>
  <c r="D85" i="20"/>
  <c r="F85" i="20" s="1"/>
  <c r="D154" i="20"/>
  <c r="F154" i="20" s="1"/>
  <c r="D116" i="20"/>
  <c r="F116" i="20" s="1"/>
  <c r="E72" i="20"/>
  <c r="G72" i="20" s="1"/>
  <c r="E126" i="20"/>
  <c r="G126" i="20" s="1"/>
  <c r="D145" i="20"/>
  <c r="F145" i="20" s="1"/>
  <c r="E29" i="20"/>
  <c r="G29" i="20" s="1"/>
  <c r="D34" i="20"/>
  <c r="F34" i="20" s="1"/>
  <c r="E52" i="20"/>
  <c r="G52" i="20" s="1"/>
  <c r="D65" i="20"/>
  <c r="F65" i="20" s="1"/>
  <c r="D67" i="20"/>
  <c r="F67" i="20" s="1"/>
  <c r="D68" i="20"/>
  <c r="F68" i="20" s="1"/>
  <c r="E69" i="20"/>
  <c r="G69" i="20" s="1"/>
  <c r="D109" i="20"/>
  <c r="F109" i="20" s="1"/>
  <c r="E110" i="20"/>
  <c r="G110" i="20" s="1"/>
  <c r="D123" i="20"/>
  <c r="F123" i="20" s="1"/>
  <c r="E128" i="20"/>
  <c r="G128" i="20" s="1"/>
  <c r="E205" i="20"/>
  <c r="G205" i="20" s="1"/>
  <c r="D47" i="20"/>
  <c r="F47" i="20" s="1"/>
  <c r="D64" i="20"/>
  <c r="F64" i="20" s="1"/>
  <c r="D79" i="20"/>
  <c r="F79" i="20" s="1"/>
  <c r="D167" i="20"/>
  <c r="F167" i="20" s="1"/>
  <c r="E177" i="20"/>
  <c r="G177" i="20" s="1"/>
  <c r="E139" i="20"/>
  <c r="G139" i="20" s="1"/>
  <c r="E174" i="20"/>
  <c r="G174" i="20" s="1"/>
  <c r="D119" i="20"/>
  <c r="F119" i="20" s="1"/>
  <c r="E132" i="20"/>
  <c r="G132" i="20" s="1"/>
  <c r="E136" i="20"/>
  <c r="G136" i="20" s="1"/>
  <c r="E43" i="20"/>
  <c r="G43" i="20" s="1"/>
  <c r="E170" i="20"/>
  <c r="G170" i="20" s="1"/>
  <c r="C12" i="20"/>
  <c r="E211" i="20"/>
  <c r="G211" i="20" s="1"/>
  <c r="E30" i="20"/>
  <c r="G30" i="20" s="1"/>
  <c r="E34" i="20"/>
  <c r="G34" i="20" s="1"/>
  <c r="E38" i="20"/>
  <c r="G38" i="20" s="1"/>
  <c r="E63" i="20"/>
  <c r="E67" i="20"/>
  <c r="G67" i="20" s="1"/>
  <c r="E80" i="20"/>
  <c r="G80" i="20" s="1"/>
  <c r="E200" i="20"/>
  <c r="G200" i="20" s="1"/>
  <c r="D204" i="20"/>
  <c r="F204" i="20" s="1"/>
  <c r="D153" i="20"/>
  <c r="F153" i="20" s="1"/>
  <c r="D158" i="20"/>
  <c r="F158" i="20" s="1"/>
  <c r="E120" i="20"/>
  <c r="G120" i="20" s="1"/>
  <c r="E141" i="20"/>
  <c r="G141" i="20" s="1"/>
  <c r="D178" i="20"/>
  <c r="F178" i="20" s="1"/>
  <c r="D44" i="20"/>
  <c r="F44" i="20" s="1"/>
  <c r="E175" i="20"/>
  <c r="G175" i="20" s="1"/>
  <c r="D180" i="20"/>
  <c r="F180" i="20" s="1"/>
  <c r="D57" i="20"/>
  <c r="F57" i="20" s="1"/>
  <c r="D172" i="20"/>
  <c r="F172" i="20" s="1"/>
  <c r="E84" i="20"/>
  <c r="G84" i="20" s="1"/>
  <c r="E54" i="20"/>
  <c r="G54" i="20" s="1"/>
  <c r="D87" i="20"/>
  <c r="F87" i="20" s="1"/>
  <c r="D156" i="20"/>
  <c r="F156" i="20" s="1"/>
  <c r="D134" i="20"/>
  <c r="F134" i="20" s="1"/>
  <c r="D131" i="20"/>
  <c r="F131" i="20" s="1"/>
  <c r="E66" i="20"/>
  <c r="G66" i="20" s="1"/>
  <c r="D36" i="20"/>
  <c r="F36" i="20" s="1"/>
  <c r="E48" i="20"/>
  <c r="G48" i="20" s="1"/>
  <c r="E61" i="20"/>
  <c r="G61" i="20" s="1"/>
  <c r="E90" i="20"/>
  <c r="G90" i="20" s="1"/>
  <c r="D106" i="20"/>
  <c r="F106" i="20" s="1"/>
  <c r="D121" i="20"/>
  <c r="F121" i="20" s="1"/>
  <c r="D142" i="20"/>
  <c r="F142" i="20" s="1"/>
  <c r="D161" i="20"/>
  <c r="F161" i="20" s="1"/>
  <c r="E192" i="20"/>
  <c r="G192" i="20" s="1"/>
  <c r="D193" i="20"/>
  <c r="F193" i="20" s="1"/>
  <c r="E195" i="20"/>
  <c r="G195" i="20" s="1"/>
  <c r="D200" i="20"/>
  <c r="F200" i="20" s="1"/>
  <c r="E163" i="20"/>
  <c r="G163" i="20" s="1"/>
  <c r="E74" i="20"/>
  <c r="G74" i="20" s="1"/>
  <c r="D74" i="20"/>
  <c r="F74" i="20" s="1"/>
  <c r="D51" i="20"/>
  <c r="F51" i="20" s="1"/>
  <c r="D73" i="20"/>
  <c r="F73" i="20" s="1"/>
  <c r="E46" i="20"/>
  <c r="G46" i="20" s="1"/>
  <c r="D46" i="20"/>
  <c r="F46" i="20" s="1"/>
  <c r="D45" i="20"/>
  <c r="F45" i="20" s="1"/>
  <c r="E184" i="20"/>
  <c r="G184" i="20" s="1"/>
  <c r="D184" i="20"/>
  <c r="F184" i="20" s="1"/>
  <c r="A22" i="20"/>
  <c r="C23" i="20"/>
  <c r="E86" i="20"/>
  <c r="G86" i="20" s="1"/>
  <c r="D183" i="20"/>
  <c r="F183" i="20" s="1"/>
  <c r="E183" i="20"/>
  <c r="G183" i="20" s="1"/>
  <c r="E85" i="20"/>
  <c r="G85" i="20" s="1"/>
  <c r="D205" i="20"/>
  <c r="F205" i="20" s="1"/>
  <c r="D170" i="20"/>
  <c r="F170" i="20" s="1"/>
  <c r="D60" i="20"/>
  <c r="F60" i="20" s="1"/>
  <c r="E60" i="20"/>
  <c r="G60" i="20" s="1"/>
  <c r="D192" i="20"/>
  <c r="F192" i="20" s="1"/>
  <c r="E189" i="20"/>
  <c r="G189" i="20" s="1"/>
  <c r="D189" i="20"/>
  <c r="F189" i="20" s="1"/>
  <c r="E75" i="20"/>
  <c r="G75" i="20" s="1"/>
  <c r="E95" i="20"/>
  <c r="G95" i="20" s="1"/>
  <c r="E96" i="20"/>
  <c r="G96" i="20" s="1"/>
  <c r="D96" i="20"/>
  <c r="F96" i="20" s="1"/>
  <c r="E166" i="20"/>
  <c r="G166" i="20" s="1"/>
  <c r="D166" i="20"/>
  <c r="F166" i="20" s="1"/>
  <c r="E143" i="20"/>
  <c r="G143" i="20" s="1"/>
  <c r="D143" i="20"/>
  <c r="F143" i="20" s="1"/>
  <c r="E190" i="20"/>
  <c r="G190" i="20" s="1"/>
  <c r="D190" i="20"/>
  <c r="F190" i="20" s="1"/>
  <c r="D31" i="20"/>
  <c r="F31" i="20" s="1"/>
  <c r="D32" i="20"/>
  <c r="F32" i="20" s="1"/>
  <c r="E35" i="20"/>
  <c r="G35" i="20" s="1"/>
  <c r="D35" i="20"/>
  <c r="F35" i="20" s="1"/>
  <c r="E41" i="20"/>
  <c r="G41" i="20" s="1"/>
  <c r="D76" i="20"/>
  <c r="F76" i="20" s="1"/>
  <c r="E98" i="20"/>
  <c r="G98" i="20" s="1"/>
  <c r="D98" i="20"/>
  <c r="F98" i="20" s="1"/>
  <c r="E111" i="20"/>
  <c r="G111" i="20" s="1"/>
  <c r="D112" i="20"/>
  <c r="F112" i="20" s="1"/>
  <c r="E115" i="20"/>
  <c r="G115" i="20" s="1"/>
  <c r="E146" i="20"/>
  <c r="G146" i="20" s="1"/>
  <c r="D146" i="20"/>
  <c r="F146" i="20" s="1"/>
  <c r="D151" i="20"/>
  <c r="F151" i="20" s="1"/>
  <c r="E171" i="20"/>
  <c r="G171" i="20" s="1"/>
  <c r="D30" i="20"/>
  <c r="F30" i="20" s="1"/>
  <c r="E118" i="20"/>
  <c r="G118" i="20" s="1"/>
  <c r="D118" i="20"/>
  <c r="F118" i="20" s="1"/>
  <c r="D39" i="20"/>
  <c r="F39" i="20" s="1"/>
  <c r="D43" i="20"/>
  <c r="F43" i="20" s="1"/>
  <c r="D54" i="20"/>
  <c r="F54" i="20" s="1"/>
  <c r="D62" i="20"/>
  <c r="F62" i="20" s="1"/>
  <c r="E152" i="20"/>
  <c r="G152" i="20" s="1"/>
  <c r="D28" i="20"/>
  <c r="F28" i="20" s="1"/>
  <c r="D33" i="20"/>
  <c r="F33" i="20" s="1"/>
  <c r="D48" i="20"/>
  <c r="F48" i="20" s="1"/>
  <c r="E49" i="20"/>
  <c r="G49" i="20" s="1"/>
  <c r="D55" i="20"/>
  <c r="F55" i="20" s="1"/>
  <c r="D70" i="20"/>
  <c r="F70" i="20" s="1"/>
  <c r="D89" i="20"/>
  <c r="F89" i="20" s="1"/>
  <c r="D90" i="20"/>
  <c r="F90" i="20" s="1"/>
  <c r="D133" i="20"/>
  <c r="F133" i="20" s="1"/>
  <c r="E56" i="20"/>
  <c r="G56" i="20" s="1"/>
  <c r="D56" i="20"/>
  <c r="F56" i="20" s="1"/>
  <c r="E71" i="20"/>
  <c r="G71" i="20" s="1"/>
  <c r="E104" i="20"/>
  <c r="G104" i="20" s="1"/>
  <c r="D104" i="20"/>
  <c r="F104" i="20" s="1"/>
  <c r="E83" i="20"/>
  <c r="G83" i="20" s="1"/>
  <c r="D83" i="20"/>
  <c r="F83" i="20" s="1"/>
  <c r="E102" i="20"/>
  <c r="G102" i="20" s="1"/>
  <c r="D102" i="20"/>
  <c r="F102" i="20" s="1"/>
  <c r="E122" i="20"/>
  <c r="G122" i="20" s="1"/>
  <c r="D122" i="20"/>
  <c r="F122" i="20" s="1"/>
  <c r="D82" i="20"/>
  <c r="F82" i="20" s="1"/>
  <c r="D120" i="20"/>
  <c r="F120" i="20" s="1"/>
  <c r="E212" i="20"/>
  <c r="G212" i="20" s="1"/>
  <c r="D212" i="20"/>
  <c r="F212" i="20" s="1"/>
  <c r="E37" i="20"/>
  <c r="G37" i="20" s="1"/>
  <c r="D37" i="20"/>
  <c r="F37" i="20" s="1"/>
  <c r="E87" i="20"/>
  <c r="G87" i="20" s="1"/>
  <c r="D53" i="20"/>
  <c r="F53" i="20" s="1"/>
  <c r="D61" i="20"/>
  <c r="F61" i="20" s="1"/>
  <c r="D58" i="20"/>
  <c r="F58" i="20" s="1"/>
  <c r="E40" i="20"/>
  <c r="G40" i="20" s="1"/>
  <c r="E137" i="20"/>
  <c r="G137" i="20" s="1"/>
  <c r="D176" i="20"/>
  <c r="F176" i="20" s="1"/>
  <c r="E198" i="20"/>
  <c r="G198" i="20" s="1"/>
  <c r="D199" i="20"/>
  <c r="F199" i="20" s="1"/>
  <c r="D38" i="20"/>
  <c r="F38" i="20" s="1"/>
  <c r="AE36" i="20"/>
  <c r="D80" i="20"/>
  <c r="F80" i="20" s="1"/>
  <c r="D63" i="20"/>
  <c r="F63" i="20" s="1"/>
  <c r="E107" i="20"/>
  <c r="G107" i="20" s="1"/>
  <c r="D107" i="20"/>
  <c r="F107" i="20" s="1"/>
  <c r="E121" i="20"/>
  <c r="G121" i="20" s="1"/>
  <c r="E148" i="20"/>
  <c r="G148" i="20" s="1"/>
  <c r="D148" i="20"/>
  <c r="F148" i="20" s="1"/>
  <c r="E185" i="20"/>
  <c r="G185" i="20" s="1"/>
  <c r="D185" i="20"/>
  <c r="F185" i="20" s="1"/>
  <c r="D207" i="20"/>
  <c r="F207" i="20" s="1"/>
  <c r="E42" i="20"/>
  <c r="G42" i="20" s="1"/>
  <c r="E140" i="20"/>
  <c r="G140" i="20" s="1"/>
  <c r="D140" i="20"/>
  <c r="F140" i="20" s="1"/>
  <c r="E144" i="20"/>
  <c r="G144" i="20" s="1"/>
  <c r="D144" i="20"/>
  <c r="F144" i="20" s="1"/>
  <c r="E165" i="20"/>
  <c r="G165" i="20" s="1"/>
  <c r="D165" i="20"/>
  <c r="F165" i="20" s="1"/>
  <c r="E159" i="20"/>
  <c r="D129" i="20"/>
  <c r="F129" i="20" s="1"/>
  <c r="D186" i="20"/>
  <c r="F186" i="20" s="1"/>
  <c r="E209" i="20"/>
  <c r="G209" i="20" s="1"/>
  <c r="D209" i="20"/>
  <c r="F209" i="20" s="1"/>
  <c r="D114" i="20"/>
  <c r="F114" i="20" s="1"/>
  <c r="D149" i="20"/>
  <c r="F149" i="20" s="1"/>
  <c r="D173" i="20"/>
  <c r="F173" i="20" s="1"/>
  <c r="E187" i="20"/>
  <c r="G187" i="20" s="1"/>
  <c r="D187" i="20"/>
  <c r="F187" i="20" s="1"/>
  <c r="D195" i="20"/>
  <c r="F195" i="20" s="1"/>
  <c r="E77" i="20"/>
  <c r="G77" i="20" s="1"/>
  <c r="E78" i="20"/>
  <c r="G78" i="20" s="1"/>
  <c r="D78" i="20"/>
  <c r="F78" i="20" s="1"/>
  <c r="E109" i="20"/>
  <c r="G109" i="20" s="1"/>
  <c r="D130" i="20"/>
  <c r="F130" i="20" s="1"/>
  <c r="D141" i="20"/>
  <c r="F141" i="20" s="1"/>
  <c r="D99" i="20"/>
  <c r="F99" i="20" s="1"/>
  <c r="D124" i="20"/>
  <c r="F124" i="20" s="1"/>
  <c r="E99" i="20"/>
  <c r="G99" i="20" s="1"/>
  <c r="E100" i="20"/>
  <c r="G100" i="20" s="1"/>
  <c r="D100" i="20"/>
  <c r="F100" i="20" s="1"/>
  <c r="E131" i="20"/>
  <c r="G131" i="20" s="1"/>
  <c r="E162" i="20"/>
  <c r="G162" i="20" s="1"/>
  <c r="E168" i="20"/>
  <c r="G168" i="20" s="1"/>
  <c r="D168" i="20"/>
  <c r="F168" i="20" s="1"/>
  <c r="D202" i="20"/>
  <c r="F202" i="20" s="1"/>
  <c r="D75" i="20"/>
  <c r="F75" i="20" s="1"/>
  <c r="D93" i="20"/>
  <c r="F93" i="20" s="1"/>
  <c r="D97" i="20"/>
  <c r="F97" i="20" s="1"/>
  <c r="D115" i="20"/>
  <c r="F115" i="20" s="1"/>
  <c r="D137" i="20"/>
  <c r="F137" i="20" s="1"/>
  <c r="D159" i="20"/>
  <c r="F159" i="20" s="1"/>
  <c r="D181" i="20"/>
  <c r="F181" i="20" s="1"/>
  <c r="D203" i="20"/>
  <c r="F203" i="20" s="1"/>
  <c r="D188" i="20"/>
  <c r="F188" i="20" s="1"/>
  <c r="D206" i="20"/>
  <c r="F206" i="20" s="1"/>
  <c r="D210" i="20"/>
  <c r="F210" i="20" s="1"/>
  <c r="D59" i="20"/>
  <c r="F59" i="20" s="1"/>
  <c r="D81" i="20"/>
  <c r="F81" i="20" s="1"/>
  <c r="D103" i="20"/>
  <c r="F103" i="20" s="1"/>
  <c r="D125" i="20"/>
  <c r="F125" i="20" s="1"/>
  <c r="D147" i="20"/>
  <c r="F147" i="20" s="1"/>
  <c r="D169" i="20"/>
  <c r="F169" i="20" s="1"/>
  <c r="D191" i="20"/>
  <c r="F191" i="20" s="1"/>
  <c r="D213" i="20"/>
  <c r="F213" i="20" s="1"/>
  <c r="C9" i="5"/>
  <c r="B9" i="5"/>
  <c r="C8" i="5"/>
  <c r="C4" i="5"/>
  <c r="AC19" i="5"/>
  <c r="AE20" i="5"/>
  <c r="AF20" i="5"/>
  <c r="AG20" i="5"/>
  <c r="AH20" i="5"/>
  <c r="AI20" i="5"/>
  <c r="AE21" i="5"/>
  <c r="AF21" i="5"/>
  <c r="AG21" i="5"/>
  <c r="AH21" i="5"/>
  <c r="AI21" i="5"/>
  <c r="AE22" i="5"/>
  <c r="AF22" i="5"/>
  <c r="AG22" i="5"/>
  <c r="AH22" i="5"/>
  <c r="AI22" i="5"/>
  <c r="AE23" i="5"/>
  <c r="AF23" i="5"/>
  <c r="AG23" i="5"/>
  <c r="AH23" i="5"/>
  <c r="AI23" i="5"/>
  <c r="AE24" i="5"/>
  <c r="AF24" i="5"/>
  <c r="AG24" i="5"/>
  <c r="AH24" i="5"/>
  <c r="AI24" i="5"/>
  <c r="AE25" i="5"/>
  <c r="AF25" i="5"/>
  <c r="AG25" i="5"/>
  <c r="AH25" i="5"/>
  <c r="AI25" i="5"/>
  <c r="AE26" i="5"/>
  <c r="AF26" i="5"/>
  <c r="AG26" i="5"/>
  <c r="AH26" i="5"/>
  <c r="AI26" i="5"/>
  <c r="AE27" i="5"/>
  <c r="AF27" i="5"/>
  <c r="AG27" i="5"/>
  <c r="AH27" i="5"/>
  <c r="AI27" i="5"/>
  <c r="AE28" i="5"/>
  <c r="AF28" i="5"/>
  <c r="AG28" i="5"/>
  <c r="AH28" i="5"/>
  <c r="AI28" i="5"/>
  <c r="AE29" i="5"/>
  <c r="AF29" i="5"/>
  <c r="AG29" i="5"/>
  <c r="AH29" i="5"/>
  <c r="AI29" i="5"/>
  <c r="AE30" i="5"/>
  <c r="AF30" i="5"/>
  <c r="AG30" i="5"/>
  <c r="AH30" i="5"/>
  <c r="AI30" i="5"/>
  <c r="AE31" i="5"/>
  <c r="AF31" i="5"/>
  <c r="AG31" i="5"/>
  <c r="AH31" i="5"/>
  <c r="AI31" i="5"/>
  <c r="AE32" i="5"/>
  <c r="AF32" i="5"/>
  <c r="AG32" i="5"/>
  <c r="AH32" i="5"/>
  <c r="AI32" i="5"/>
  <c r="AE33" i="5"/>
  <c r="AF33" i="5"/>
  <c r="AG33" i="5"/>
  <c r="AH33" i="5"/>
  <c r="AI33" i="5"/>
  <c r="AE34" i="5"/>
  <c r="AF34" i="5"/>
  <c r="AG34" i="5"/>
  <c r="AH34" i="5"/>
  <c r="AI34" i="5"/>
  <c r="AE35" i="5"/>
  <c r="AF35" i="5"/>
  <c r="AG35" i="5"/>
  <c r="AH35" i="5"/>
  <c r="AI35" i="5"/>
  <c r="AE36" i="5"/>
  <c r="AF36" i="5"/>
  <c r="AG36" i="5"/>
  <c r="AH36" i="5"/>
  <c r="AI36" i="5"/>
  <c r="AE37" i="5"/>
  <c r="AF37" i="5"/>
  <c r="AG37" i="5"/>
  <c r="AH37" i="5"/>
  <c r="AI37" i="5"/>
  <c r="AE38" i="5"/>
  <c r="AF38" i="5"/>
  <c r="AG38" i="5"/>
  <c r="AH38" i="5"/>
  <c r="AI38" i="5"/>
  <c r="AE39" i="5"/>
  <c r="AF39" i="5"/>
  <c r="AG39" i="5"/>
  <c r="AH39" i="5"/>
  <c r="AI39" i="5"/>
  <c r="AE40" i="5"/>
  <c r="AF40" i="5"/>
  <c r="AG40" i="5"/>
  <c r="AH40" i="5"/>
  <c r="AI40" i="5"/>
  <c r="AE41" i="5"/>
  <c r="AF41" i="5"/>
  <c r="AG41" i="5"/>
  <c r="AH41" i="5"/>
  <c r="AI41" i="5"/>
  <c r="AE42" i="5"/>
  <c r="AF42" i="5"/>
  <c r="AG42" i="5"/>
  <c r="AH42" i="5"/>
  <c r="AI42" i="5"/>
  <c r="AE43" i="5"/>
  <c r="AF43" i="5"/>
  <c r="AG43" i="5"/>
  <c r="AH43" i="5"/>
  <c r="AI43" i="5"/>
  <c r="AE44" i="5"/>
  <c r="AF44" i="5"/>
  <c r="AG44" i="5"/>
  <c r="AH44" i="5"/>
  <c r="AI44" i="5"/>
  <c r="AE45" i="5"/>
  <c r="AF45" i="5"/>
  <c r="AG45" i="5"/>
  <c r="AH45" i="5"/>
  <c r="AI45" i="5"/>
  <c r="AE46" i="5"/>
  <c r="AF46" i="5"/>
  <c r="AG46" i="5"/>
  <c r="AH46" i="5"/>
  <c r="AI46" i="5"/>
  <c r="AE47" i="5"/>
  <c r="AF47" i="5"/>
  <c r="AG47" i="5"/>
  <c r="AH47" i="5"/>
  <c r="AI47" i="5"/>
  <c r="AE48" i="5"/>
  <c r="AF48" i="5"/>
  <c r="AG48" i="5"/>
  <c r="AH48" i="5"/>
  <c r="AI48" i="5"/>
  <c r="AE49" i="5"/>
  <c r="AF49" i="5"/>
  <c r="AG49" i="5"/>
  <c r="AH49" i="5"/>
  <c r="AI49" i="5"/>
  <c r="AE50" i="5"/>
  <c r="AF50" i="5"/>
  <c r="AG50" i="5"/>
  <c r="AH50" i="5"/>
  <c r="AI50" i="5"/>
  <c r="AE51" i="5"/>
  <c r="AF51" i="5"/>
  <c r="AG51" i="5"/>
  <c r="AH51" i="5"/>
  <c r="AI51" i="5"/>
  <c r="AE52" i="5"/>
  <c r="AF52" i="5"/>
  <c r="AG52" i="5"/>
  <c r="AH52" i="5"/>
  <c r="AI52" i="5"/>
  <c r="AE53" i="5"/>
  <c r="AF53" i="5"/>
  <c r="AG53" i="5"/>
  <c r="AH53" i="5"/>
  <c r="AI53" i="5"/>
  <c r="AE54" i="5"/>
  <c r="AF54" i="5"/>
  <c r="AG54" i="5"/>
  <c r="AH54" i="5"/>
  <c r="AI54" i="5"/>
  <c r="AE55" i="5"/>
  <c r="AF55" i="5"/>
  <c r="AG55" i="5"/>
  <c r="AH55" i="5"/>
  <c r="AI55" i="5"/>
  <c r="AE56" i="5"/>
  <c r="AF56" i="5"/>
  <c r="AG56" i="5"/>
  <c r="AH56" i="5"/>
  <c r="AI56" i="5"/>
  <c r="AE57" i="5"/>
  <c r="AF57" i="5"/>
  <c r="AG57" i="5"/>
  <c r="AH57" i="5"/>
  <c r="AI57" i="5"/>
  <c r="AE58" i="5"/>
  <c r="AF58" i="5"/>
  <c r="AG58" i="5"/>
  <c r="AH58" i="5"/>
  <c r="AI58" i="5"/>
  <c r="AE59" i="5"/>
  <c r="AF59" i="5"/>
  <c r="AG59" i="5"/>
  <c r="AH59" i="5"/>
  <c r="AI59" i="5"/>
  <c r="AE60" i="5"/>
  <c r="AF60" i="5"/>
  <c r="AG60" i="5"/>
  <c r="AH60" i="5"/>
  <c r="AI60" i="5"/>
  <c r="AE61" i="5"/>
  <c r="AF61" i="5"/>
  <c r="AG61" i="5"/>
  <c r="AH61" i="5"/>
  <c r="AI61" i="5"/>
  <c r="AE62" i="5"/>
  <c r="AF62" i="5"/>
  <c r="AG62" i="5"/>
  <c r="AH62" i="5"/>
  <c r="AI62" i="5"/>
  <c r="AE63" i="5"/>
  <c r="AF63" i="5"/>
  <c r="AG63" i="5"/>
  <c r="AH63" i="5"/>
  <c r="AI63" i="5"/>
  <c r="AE64" i="5"/>
  <c r="AF64" i="5"/>
  <c r="AG64" i="5"/>
  <c r="AH64" i="5"/>
  <c r="AI64" i="5"/>
  <c r="AE65" i="5"/>
  <c r="AF65" i="5"/>
  <c r="AG65" i="5"/>
  <c r="AH65" i="5"/>
  <c r="AI65" i="5"/>
  <c r="AE66" i="5"/>
  <c r="AF66" i="5"/>
  <c r="AG66" i="5"/>
  <c r="AH66" i="5"/>
  <c r="AI66" i="5"/>
  <c r="AE67" i="5"/>
  <c r="AF67" i="5"/>
  <c r="AG67" i="5"/>
  <c r="AH67" i="5"/>
  <c r="AI67" i="5"/>
  <c r="AE68" i="5"/>
  <c r="AF68" i="5"/>
  <c r="AG68" i="5"/>
  <c r="AH68" i="5"/>
  <c r="AI68" i="5"/>
  <c r="AE69" i="5"/>
  <c r="AF69" i="5"/>
  <c r="AG69" i="5"/>
  <c r="AH69" i="5"/>
  <c r="AI69" i="5"/>
  <c r="AE70" i="5"/>
  <c r="AF70" i="5"/>
  <c r="AG70" i="5"/>
  <c r="AH70" i="5"/>
  <c r="AI70" i="5"/>
  <c r="AE71" i="5"/>
  <c r="AF71" i="5"/>
  <c r="AG71" i="5"/>
  <c r="AH71" i="5"/>
  <c r="AI71" i="5"/>
  <c r="AE72" i="5"/>
  <c r="AF72" i="5"/>
  <c r="AG72" i="5"/>
  <c r="AH72" i="5"/>
  <c r="AI72" i="5"/>
  <c r="AE73" i="5"/>
  <c r="AF73" i="5"/>
  <c r="AG73" i="5"/>
  <c r="AH73" i="5"/>
  <c r="AI73" i="5"/>
  <c r="AE74" i="5"/>
  <c r="AF74" i="5"/>
  <c r="AG74" i="5"/>
  <c r="AH74" i="5"/>
  <c r="AI74" i="5"/>
  <c r="AE75" i="5"/>
  <c r="AF75" i="5"/>
  <c r="AG75" i="5"/>
  <c r="AH75" i="5"/>
  <c r="AI75" i="5"/>
  <c r="AE76" i="5"/>
  <c r="AF76" i="5"/>
  <c r="AG76" i="5"/>
  <c r="AH76" i="5"/>
  <c r="AI76" i="5"/>
  <c r="AE77" i="5"/>
  <c r="AF77" i="5"/>
  <c r="AG77" i="5"/>
  <c r="AH77" i="5"/>
  <c r="AI77" i="5"/>
  <c r="AE78" i="5"/>
  <c r="AF78" i="5"/>
  <c r="AG78" i="5"/>
  <c r="AH78" i="5"/>
  <c r="AI78" i="5"/>
  <c r="AE79" i="5"/>
  <c r="AF79" i="5"/>
  <c r="AG79" i="5"/>
  <c r="AH79" i="5"/>
  <c r="AI79" i="5"/>
  <c r="AE80" i="5"/>
  <c r="AF80" i="5"/>
  <c r="AG80" i="5"/>
  <c r="AH80" i="5"/>
  <c r="AI80" i="5"/>
  <c r="AE81" i="5"/>
  <c r="AF81" i="5"/>
  <c r="AG81" i="5"/>
  <c r="AH81" i="5"/>
  <c r="AI81" i="5"/>
  <c r="AE82" i="5"/>
  <c r="AF82" i="5"/>
  <c r="AG82" i="5"/>
  <c r="AH82" i="5"/>
  <c r="AI82" i="5"/>
  <c r="AE83" i="5"/>
  <c r="AF83" i="5"/>
  <c r="AG83" i="5"/>
  <c r="AH83" i="5"/>
  <c r="AI83" i="5"/>
  <c r="AE84" i="5"/>
  <c r="AF84" i="5"/>
  <c r="AG84" i="5"/>
  <c r="AH84" i="5"/>
  <c r="AI84" i="5"/>
  <c r="AE85" i="5"/>
  <c r="AF85" i="5"/>
  <c r="AG85" i="5"/>
  <c r="AH85" i="5"/>
  <c r="AI85" i="5"/>
  <c r="AE86" i="5"/>
  <c r="AF86" i="5"/>
  <c r="AG86" i="5"/>
  <c r="AH86" i="5"/>
  <c r="AI86" i="5"/>
  <c r="AE87" i="5"/>
  <c r="AF87" i="5"/>
  <c r="AG87" i="5"/>
  <c r="AH87" i="5"/>
  <c r="AI87" i="5"/>
  <c r="AE88" i="5"/>
  <c r="AF88" i="5"/>
  <c r="AG88" i="5"/>
  <c r="AH88" i="5"/>
  <c r="AI88" i="5"/>
  <c r="AE89" i="5"/>
  <c r="AF89" i="5"/>
  <c r="AG89" i="5"/>
  <c r="AH89" i="5"/>
  <c r="AI89" i="5"/>
  <c r="AE90" i="5"/>
  <c r="AF90" i="5"/>
  <c r="AG90" i="5"/>
  <c r="AH90" i="5"/>
  <c r="AI90" i="5"/>
  <c r="AE91" i="5"/>
  <c r="AF91" i="5"/>
  <c r="AG91" i="5"/>
  <c r="AH91" i="5"/>
  <c r="AI91" i="5"/>
  <c r="AE92" i="5"/>
  <c r="AF92" i="5"/>
  <c r="AG92" i="5"/>
  <c r="AH92" i="5"/>
  <c r="AI92" i="5"/>
  <c r="AE93" i="5"/>
  <c r="AF93" i="5"/>
  <c r="AG93" i="5"/>
  <c r="AH93" i="5"/>
  <c r="AI93" i="5"/>
  <c r="AE94" i="5"/>
  <c r="AF94" i="5"/>
  <c r="AG94" i="5"/>
  <c r="AH94" i="5"/>
  <c r="AI94" i="5"/>
  <c r="AE95" i="5"/>
  <c r="AF95" i="5"/>
  <c r="AG95" i="5"/>
  <c r="AH95" i="5"/>
  <c r="AI95" i="5"/>
  <c r="AE96" i="5"/>
  <c r="AF96" i="5"/>
  <c r="AG96" i="5"/>
  <c r="AH96" i="5"/>
  <c r="AI96" i="5"/>
  <c r="AE97" i="5"/>
  <c r="AF97" i="5"/>
  <c r="AG97" i="5"/>
  <c r="AH97" i="5"/>
  <c r="AI97" i="5"/>
  <c r="AE98" i="5"/>
  <c r="AF98" i="5"/>
  <c r="AG98" i="5"/>
  <c r="AH98" i="5"/>
  <c r="AI98" i="5"/>
  <c r="AE99" i="5"/>
  <c r="AF99" i="5"/>
  <c r="AG99" i="5"/>
  <c r="AH99" i="5"/>
  <c r="AI99" i="5"/>
  <c r="AE100" i="5"/>
  <c r="AF100" i="5"/>
  <c r="AG100" i="5"/>
  <c r="AH100" i="5"/>
  <c r="AI100" i="5"/>
  <c r="AE101" i="5"/>
  <c r="AF101" i="5"/>
  <c r="AG101" i="5"/>
  <c r="AH101" i="5"/>
  <c r="AI101" i="5"/>
  <c r="AE102" i="5"/>
  <c r="AF102" i="5"/>
  <c r="AG102" i="5"/>
  <c r="AH102" i="5"/>
  <c r="AI102" i="5"/>
  <c r="AE103" i="5"/>
  <c r="AF103" i="5"/>
  <c r="AG103" i="5"/>
  <c r="AH103" i="5"/>
  <c r="AI103" i="5"/>
  <c r="AE104" i="5"/>
  <c r="AF104" i="5"/>
  <c r="AG104" i="5"/>
  <c r="AH104" i="5"/>
  <c r="AI104" i="5"/>
  <c r="AE105" i="5"/>
  <c r="AF105" i="5"/>
  <c r="AG105" i="5"/>
  <c r="AH105" i="5"/>
  <c r="AI105" i="5"/>
  <c r="AE106" i="5"/>
  <c r="AF106" i="5"/>
  <c r="AG106" i="5"/>
  <c r="AH106" i="5"/>
  <c r="AI106" i="5"/>
  <c r="AE107" i="5"/>
  <c r="AF107" i="5"/>
  <c r="AG107" i="5"/>
  <c r="AH107" i="5"/>
  <c r="AI107" i="5"/>
  <c r="AE108" i="5"/>
  <c r="AF108" i="5"/>
  <c r="AG108" i="5"/>
  <c r="AH108" i="5"/>
  <c r="AI108" i="5"/>
  <c r="AE109" i="5"/>
  <c r="AF109" i="5"/>
  <c r="AG109" i="5"/>
  <c r="AH109" i="5"/>
  <c r="AI109" i="5"/>
  <c r="AE110" i="5"/>
  <c r="AF110" i="5"/>
  <c r="AG110" i="5"/>
  <c r="AH110" i="5"/>
  <c r="AI110" i="5"/>
  <c r="AE111" i="5"/>
  <c r="AF111" i="5"/>
  <c r="AG111" i="5"/>
  <c r="AH111" i="5"/>
  <c r="AI111" i="5"/>
  <c r="AE112" i="5"/>
  <c r="AF112" i="5"/>
  <c r="AG112" i="5"/>
  <c r="AH112" i="5"/>
  <c r="AI112" i="5"/>
  <c r="AE113" i="5"/>
  <c r="AF113" i="5"/>
  <c r="AG113" i="5"/>
  <c r="AH113" i="5"/>
  <c r="AI113" i="5"/>
  <c r="AE114" i="5"/>
  <c r="AF114" i="5"/>
  <c r="AG114" i="5"/>
  <c r="AH114" i="5"/>
  <c r="AI114" i="5"/>
  <c r="AE115" i="5"/>
  <c r="AF115" i="5"/>
  <c r="AG115" i="5"/>
  <c r="AH115" i="5"/>
  <c r="AI115" i="5"/>
  <c r="AE116" i="5"/>
  <c r="AF116" i="5"/>
  <c r="AG116" i="5"/>
  <c r="AH116" i="5"/>
  <c r="AI116" i="5"/>
  <c r="AE117" i="5"/>
  <c r="AF117" i="5"/>
  <c r="AG117" i="5"/>
  <c r="AH117" i="5"/>
  <c r="AI117" i="5"/>
  <c r="AE118" i="5"/>
  <c r="AF118" i="5"/>
  <c r="AG118" i="5"/>
  <c r="AH118" i="5"/>
  <c r="AI118" i="5"/>
  <c r="AE119" i="5"/>
  <c r="AF119" i="5"/>
  <c r="AG119" i="5"/>
  <c r="AH119" i="5"/>
  <c r="AI119" i="5"/>
  <c r="AE120" i="5"/>
  <c r="AF120" i="5"/>
  <c r="AG120" i="5"/>
  <c r="AH120" i="5"/>
  <c r="AI120" i="5"/>
  <c r="AE121" i="5"/>
  <c r="AF121" i="5"/>
  <c r="AG121" i="5"/>
  <c r="AH121" i="5"/>
  <c r="AI121" i="5"/>
  <c r="AE122" i="5"/>
  <c r="AF122" i="5"/>
  <c r="AG122" i="5"/>
  <c r="AH122" i="5"/>
  <c r="AI122" i="5"/>
  <c r="AE123" i="5"/>
  <c r="AF123" i="5"/>
  <c r="AG123" i="5"/>
  <c r="AH123" i="5"/>
  <c r="AI123" i="5"/>
  <c r="AE124" i="5"/>
  <c r="AF124" i="5"/>
  <c r="AG124" i="5"/>
  <c r="AH124" i="5"/>
  <c r="AI124" i="5"/>
  <c r="AE125" i="5"/>
  <c r="AF125" i="5"/>
  <c r="AG125" i="5"/>
  <c r="AH125" i="5"/>
  <c r="AI125" i="5"/>
  <c r="AE126" i="5"/>
  <c r="AF126" i="5"/>
  <c r="AG126" i="5"/>
  <c r="AH126" i="5"/>
  <c r="AI126" i="5"/>
  <c r="AE127" i="5"/>
  <c r="AF127" i="5"/>
  <c r="AG127" i="5"/>
  <c r="AH127" i="5"/>
  <c r="AI127" i="5"/>
  <c r="AE128" i="5"/>
  <c r="AF128" i="5"/>
  <c r="AG128" i="5"/>
  <c r="AH128" i="5"/>
  <c r="AI128" i="5"/>
  <c r="AE129" i="5"/>
  <c r="AF129" i="5"/>
  <c r="AG129" i="5"/>
  <c r="AH129" i="5"/>
  <c r="AI129" i="5"/>
  <c r="AE130" i="5"/>
  <c r="AF130" i="5"/>
  <c r="AG130" i="5"/>
  <c r="AH130" i="5"/>
  <c r="AI130" i="5"/>
  <c r="AE131" i="5"/>
  <c r="AF131" i="5"/>
  <c r="AG131" i="5"/>
  <c r="AH131" i="5"/>
  <c r="AI131" i="5"/>
  <c r="AE132" i="5"/>
  <c r="AF132" i="5"/>
  <c r="AG132" i="5"/>
  <c r="AH132" i="5"/>
  <c r="AI132" i="5"/>
  <c r="AE133" i="5"/>
  <c r="AF133" i="5"/>
  <c r="AG133" i="5"/>
  <c r="AH133" i="5"/>
  <c r="AI133" i="5"/>
  <c r="AE134" i="5"/>
  <c r="AF134" i="5"/>
  <c r="AG134" i="5"/>
  <c r="AH134" i="5"/>
  <c r="AI134" i="5"/>
  <c r="AE135" i="5"/>
  <c r="AF135" i="5"/>
  <c r="AG135" i="5"/>
  <c r="AH135" i="5"/>
  <c r="AI135" i="5"/>
  <c r="AE136" i="5"/>
  <c r="AF136" i="5"/>
  <c r="AG136" i="5"/>
  <c r="AH136" i="5"/>
  <c r="AI136" i="5"/>
  <c r="AE137" i="5"/>
  <c r="AF137" i="5"/>
  <c r="AG137" i="5"/>
  <c r="AH137" i="5"/>
  <c r="AI137" i="5"/>
  <c r="AE138" i="5"/>
  <c r="AF138" i="5"/>
  <c r="AG138" i="5"/>
  <c r="AH138" i="5"/>
  <c r="AI138" i="5"/>
  <c r="AE139" i="5"/>
  <c r="AF139" i="5"/>
  <c r="AG139" i="5"/>
  <c r="AH139" i="5"/>
  <c r="AI139" i="5"/>
  <c r="AE140" i="5"/>
  <c r="AF140" i="5"/>
  <c r="AG140" i="5"/>
  <c r="AH140" i="5"/>
  <c r="AI140" i="5"/>
  <c r="AE141" i="5"/>
  <c r="AF141" i="5"/>
  <c r="AG141" i="5"/>
  <c r="AH141" i="5"/>
  <c r="AI141" i="5"/>
  <c r="AE142" i="5"/>
  <c r="AF142" i="5"/>
  <c r="AG142" i="5"/>
  <c r="AH142" i="5"/>
  <c r="AI142" i="5"/>
  <c r="AE143" i="5"/>
  <c r="AF143" i="5"/>
  <c r="AG143" i="5"/>
  <c r="AH143" i="5"/>
  <c r="AI143" i="5"/>
  <c r="AE144" i="5"/>
  <c r="AF144" i="5"/>
  <c r="AG144" i="5"/>
  <c r="AH144" i="5"/>
  <c r="AI144" i="5"/>
  <c r="AE145" i="5"/>
  <c r="AF145" i="5"/>
  <c r="AG145" i="5"/>
  <c r="AH145" i="5"/>
  <c r="AI145" i="5"/>
  <c r="AE146" i="5"/>
  <c r="AF146" i="5"/>
  <c r="AG146" i="5"/>
  <c r="AH146" i="5"/>
  <c r="AI146" i="5"/>
  <c r="AE147" i="5"/>
  <c r="AF147" i="5"/>
  <c r="AG147" i="5"/>
  <c r="AH147" i="5"/>
  <c r="AI147" i="5"/>
  <c r="AE148" i="5"/>
  <c r="AF148" i="5"/>
  <c r="AG148" i="5"/>
  <c r="AH148" i="5"/>
  <c r="AI148" i="5"/>
  <c r="AE149" i="5"/>
  <c r="AF149" i="5"/>
  <c r="AG149" i="5"/>
  <c r="AH149" i="5"/>
  <c r="AI149" i="5"/>
  <c r="AE150" i="5"/>
  <c r="AF150" i="5"/>
  <c r="AG150" i="5"/>
  <c r="AH150" i="5"/>
  <c r="AI150" i="5"/>
  <c r="AE151" i="5"/>
  <c r="AF151" i="5"/>
  <c r="AG151" i="5"/>
  <c r="AH151" i="5"/>
  <c r="AI151" i="5"/>
  <c r="AE152" i="5"/>
  <c r="AF152" i="5"/>
  <c r="AG152" i="5"/>
  <c r="AH152" i="5"/>
  <c r="AI152" i="5"/>
  <c r="AE153" i="5"/>
  <c r="AF153" i="5"/>
  <c r="AG153" i="5"/>
  <c r="AH153" i="5"/>
  <c r="AI153" i="5"/>
  <c r="AE154" i="5"/>
  <c r="AF154" i="5"/>
  <c r="AG154" i="5"/>
  <c r="AH154" i="5"/>
  <c r="AI154" i="5"/>
  <c r="AE155" i="5"/>
  <c r="AF155" i="5"/>
  <c r="AG155" i="5"/>
  <c r="AH155" i="5"/>
  <c r="AI155" i="5"/>
  <c r="AE156" i="5"/>
  <c r="AF156" i="5"/>
  <c r="AG156" i="5"/>
  <c r="AH156" i="5"/>
  <c r="AI156" i="5"/>
  <c r="AE157" i="5"/>
  <c r="AF157" i="5"/>
  <c r="AG157" i="5"/>
  <c r="AH157" i="5"/>
  <c r="AI157" i="5"/>
  <c r="AE158" i="5"/>
  <c r="AF158" i="5"/>
  <c r="AG158" i="5"/>
  <c r="AH158" i="5"/>
  <c r="AI158" i="5"/>
  <c r="AE159" i="5"/>
  <c r="AF159" i="5"/>
  <c r="AG159" i="5"/>
  <c r="AH159" i="5"/>
  <c r="AI159" i="5"/>
  <c r="AE160" i="5"/>
  <c r="AF160" i="5"/>
  <c r="AG160" i="5"/>
  <c r="AH160" i="5"/>
  <c r="AI160" i="5"/>
  <c r="AE161" i="5"/>
  <c r="AF161" i="5"/>
  <c r="AG161" i="5"/>
  <c r="AH161" i="5"/>
  <c r="AI161" i="5"/>
  <c r="AE162" i="5"/>
  <c r="AF162" i="5"/>
  <c r="AG162" i="5"/>
  <c r="AH162" i="5"/>
  <c r="AI162" i="5"/>
  <c r="AE163" i="5"/>
  <c r="AF163" i="5"/>
  <c r="AG163" i="5"/>
  <c r="AH163" i="5"/>
  <c r="AI163" i="5"/>
  <c r="AE164" i="5"/>
  <c r="AF164" i="5"/>
  <c r="AG164" i="5"/>
  <c r="AH164" i="5"/>
  <c r="AI164" i="5"/>
  <c r="AE165" i="5"/>
  <c r="AF165" i="5"/>
  <c r="AG165" i="5"/>
  <c r="AH165" i="5"/>
  <c r="AI165" i="5"/>
  <c r="AE166" i="5"/>
  <c r="AF166" i="5"/>
  <c r="AG166" i="5"/>
  <c r="AH166" i="5"/>
  <c r="AI166" i="5"/>
  <c r="AE167" i="5"/>
  <c r="AF167" i="5"/>
  <c r="AG167" i="5"/>
  <c r="AH167" i="5"/>
  <c r="AI167" i="5"/>
  <c r="AE168" i="5"/>
  <c r="AF168" i="5"/>
  <c r="AG168" i="5"/>
  <c r="AH168" i="5"/>
  <c r="AI168" i="5"/>
  <c r="AE169" i="5"/>
  <c r="AF169" i="5"/>
  <c r="AG169" i="5"/>
  <c r="AH169" i="5"/>
  <c r="AI169" i="5"/>
  <c r="AE170" i="5"/>
  <c r="AF170" i="5"/>
  <c r="AG170" i="5"/>
  <c r="AH170" i="5"/>
  <c r="AI170" i="5"/>
  <c r="AE171" i="5"/>
  <c r="AF171" i="5"/>
  <c r="AG171" i="5"/>
  <c r="AH171" i="5"/>
  <c r="AI171" i="5"/>
  <c r="AE172" i="5"/>
  <c r="AF172" i="5"/>
  <c r="AG172" i="5"/>
  <c r="AH172" i="5"/>
  <c r="AI172" i="5"/>
  <c r="AE173" i="5"/>
  <c r="AF173" i="5"/>
  <c r="AG173" i="5"/>
  <c r="AH173" i="5"/>
  <c r="AI173" i="5"/>
  <c r="AE174" i="5"/>
  <c r="AF174" i="5"/>
  <c r="AG174" i="5"/>
  <c r="AH174" i="5"/>
  <c r="AI174" i="5"/>
  <c r="AE175" i="5"/>
  <c r="AF175" i="5"/>
  <c r="AG175" i="5"/>
  <c r="AH175" i="5"/>
  <c r="AI175" i="5"/>
  <c r="AE176" i="5"/>
  <c r="AF176" i="5"/>
  <c r="AG176" i="5"/>
  <c r="AH176" i="5"/>
  <c r="AI176" i="5"/>
  <c r="AE177" i="5"/>
  <c r="AF177" i="5"/>
  <c r="AG177" i="5"/>
  <c r="AH177" i="5"/>
  <c r="AI177" i="5"/>
  <c r="AE178" i="5"/>
  <c r="AF178" i="5"/>
  <c r="AG178" i="5"/>
  <c r="AH178" i="5"/>
  <c r="AI178" i="5"/>
  <c r="AE179" i="5"/>
  <c r="AF179" i="5"/>
  <c r="AG179" i="5"/>
  <c r="AH179" i="5"/>
  <c r="AI179" i="5"/>
  <c r="AE180" i="5"/>
  <c r="AF180" i="5"/>
  <c r="AG180" i="5"/>
  <c r="AH180" i="5"/>
  <c r="AI180" i="5"/>
  <c r="AE181" i="5"/>
  <c r="AF181" i="5"/>
  <c r="AG181" i="5"/>
  <c r="AH181" i="5"/>
  <c r="AI181" i="5"/>
  <c r="AE182" i="5"/>
  <c r="AF182" i="5"/>
  <c r="AG182" i="5"/>
  <c r="AH182" i="5"/>
  <c r="AI182" i="5"/>
  <c r="AE183" i="5"/>
  <c r="AF183" i="5"/>
  <c r="AG183" i="5"/>
  <c r="AH183" i="5"/>
  <c r="AI183" i="5"/>
  <c r="AE184" i="5"/>
  <c r="AF184" i="5"/>
  <c r="AG184" i="5"/>
  <c r="AH184" i="5"/>
  <c r="AI184" i="5"/>
  <c r="AE185" i="5"/>
  <c r="AF185" i="5"/>
  <c r="AG185" i="5"/>
  <c r="AH185" i="5"/>
  <c r="AI185" i="5"/>
  <c r="AE186" i="5"/>
  <c r="AF186" i="5"/>
  <c r="AG186" i="5"/>
  <c r="AH186" i="5"/>
  <c r="AI186" i="5"/>
  <c r="AE187" i="5"/>
  <c r="AF187" i="5"/>
  <c r="AG187" i="5"/>
  <c r="AH187" i="5"/>
  <c r="AI187" i="5"/>
  <c r="AE188" i="5"/>
  <c r="AF188" i="5"/>
  <c r="AG188" i="5"/>
  <c r="AH188" i="5"/>
  <c r="AI188" i="5"/>
  <c r="AE189" i="5"/>
  <c r="AF189" i="5"/>
  <c r="AG189" i="5"/>
  <c r="AH189" i="5"/>
  <c r="AI189" i="5"/>
  <c r="AE190" i="5"/>
  <c r="AF190" i="5"/>
  <c r="AG190" i="5"/>
  <c r="AH190" i="5"/>
  <c r="AI190" i="5"/>
  <c r="AE191" i="5"/>
  <c r="AF191" i="5"/>
  <c r="AG191" i="5"/>
  <c r="AH191" i="5"/>
  <c r="AI191" i="5"/>
  <c r="AE192" i="5"/>
  <c r="AF192" i="5"/>
  <c r="AG192" i="5"/>
  <c r="AH192" i="5"/>
  <c r="AI192" i="5"/>
  <c r="AE193" i="5"/>
  <c r="AF193" i="5"/>
  <c r="AG193" i="5"/>
  <c r="AH193" i="5"/>
  <c r="AI193" i="5"/>
  <c r="AE194" i="5"/>
  <c r="AF194" i="5"/>
  <c r="AG194" i="5"/>
  <c r="AH194" i="5"/>
  <c r="AI194" i="5"/>
  <c r="AE195" i="5"/>
  <c r="AF195" i="5"/>
  <c r="AG195" i="5"/>
  <c r="AH195" i="5"/>
  <c r="AI195" i="5"/>
  <c r="AE196" i="5"/>
  <c r="AF196" i="5"/>
  <c r="AG196" i="5"/>
  <c r="AH196" i="5"/>
  <c r="AI196" i="5"/>
  <c r="AE197" i="5"/>
  <c r="AF197" i="5"/>
  <c r="AG197" i="5"/>
  <c r="AH197" i="5"/>
  <c r="AI197" i="5"/>
  <c r="AE198" i="5"/>
  <c r="AF198" i="5"/>
  <c r="AG198" i="5"/>
  <c r="AH198" i="5"/>
  <c r="AI198" i="5"/>
  <c r="AE199" i="5"/>
  <c r="AF199" i="5"/>
  <c r="AG199" i="5"/>
  <c r="AH199" i="5"/>
  <c r="AI199" i="5"/>
  <c r="AE200" i="5"/>
  <c r="AF200" i="5"/>
  <c r="AG200" i="5"/>
  <c r="AH200" i="5"/>
  <c r="AI200" i="5"/>
  <c r="AE201" i="5"/>
  <c r="AF201" i="5"/>
  <c r="AG201" i="5"/>
  <c r="AH201" i="5"/>
  <c r="AI201" i="5"/>
  <c r="AE202" i="5"/>
  <c r="AF202" i="5"/>
  <c r="AG202" i="5"/>
  <c r="AH202" i="5"/>
  <c r="AI202" i="5"/>
  <c r="AE203" i="5"/>
  <c r="AF203" i="5"/>
  <c r="AG203" i="5"/>
  <c r="AH203" i="5"/>
  <c r="AI203" i="5"/>
  <c r="AE204" i="5"/>
  <c r="AF204" i="5"/>
  <c r="AG204" i="5"/>
  <c r="AH204" i="5"/>
  <c r="AI204" i="5"/>
  <c r="AE205" i="5"/>
  <c r="AF205" i="5"/>
  <c r="AG205" i="5"/>
  <c r="AH205" i="5"/>
  <c r="AI205" i="5"/>
  <c r="AE206" i="5"/>
  <c r="AF206" i="5"/>
  <c r="AG206" i="5"/>
  <c r="AH206" i="5"/>
  <c r="AI206" i="5"/>
  <c r="AE207" i="5"/>
  <c r="AF207" i="5"/>
  <c r="AG207" i="5"/>
  <c r="AH207" i="5"/>
  <c r="AI207" i="5"/>
  <c r="AE208" i="5"/>
  <c r="AF208" i="5"/>
  <c r="AG208" i="5"/>
  <c r="AH208" i="5"/>
  <c r="AI208" i="5"/>
  <c r="AE209" i="5"/>
  <c r="AF209" i="5"/>
  <c r="AG209" i="5"/>
  <c r="AH209" i="5"/>
  <c r="AI209" i="5"/>
  <c r="AE210" i="5"/>
  <c r="AF210" i="5"/>
  <c r="AG210" i="5"/>
  <c r="AH210" i="5"/>
  <c r="AI210" i="5"/>
  <c r="AF19" i="5"/>
  <c r="AG19" i="5"/>
  <c r="AH19" i="5"/>
  <c r="AI19" i="5"/>
  <c r="AE19" i="5"/>
  <c r="X20" i="5"/>
  <c r="Y20" i="5"/>
  <c r="Z20" i="5"/>
  <c r="AA20" i="5"/>
  <c r="AB20" i="5"/>
  <c r="X21" i="5"/>
  <c r="Y21" i="5"/>
  <c r="Z21" i="5"/>
  <c r="AA21" i="5"/>
  <c r="AB21" i="5"/>
  <c r="X22" i="5"/>
  <c r="Y22" i="5"/>
  <c r="Z22" i="5"/>
  <c r="AA22" i="5"/>
  <c r="AB22" i="5"/>
  <c r="X23" i="5"/>
  <c r="Y23" i="5"/>
  <c r="Z23" i="5"/>
  <c r="AA23" i="5"/>
  <c r="AB23" i="5"/>
  <c r="X24" i="5"/>
  <c r="Y24" i="5"/>
  <c r="Z24" i="5"/>
  <c r="AA24" i="5"/>
  <c r="AB24" i="5"/>
  <c r="X25" i="5"/>
  <c r="Y25" i="5"/>
  <c r="Z25" i="5"/>
  <c r="AA25" i="5"/>
  <c r="AB25" i="5"/>
  <c r="X26" i="5"/>
  <c r="Y26" i="5"/>
  <c r="Z26" i="5"/>
  <c r="AA26" i="5"/>
  <c r="AB26" i="5"/>
  <c r="X27" i="5"/>
  <c r="Y27" i="5"/>
  <c r="Z27" i="5"/>
  <c r="AA27" i="5"/>
  <c r="AB27" i="5"/>
  <c r="X28" i="5"/>
  <c r="Y28" i="5"/>
  <c r="Z28" i="5"/>
  <c r="AA28" i="5"/>
  <c r="AB28" i="5"/>
  <c r="X29" i="5"/>
  <c r="Y29" i="5"/>
  <c r="Z29" i="5"/>
  <c r="AA29" i="5"/>
  <c r="AB29" i="5"/>
  <c r="X30" i="5"/>
  <c r="Y30" i="5"/>
  <c r="Z30" i="5"/>
  <c r="AA30" i="5"/>
  <c r="AB30" i="5"/>
  <c r="X31" i="5"/>
  <c r="Y31" i="5"/>
  <c r="Z31" i="5"/>
  <c r="AA31" i="5"/>
  <c r="AB31" i="5"/>
  <c r="X32" i="5"/>
  <c r="Y32" i="5"/>
  <c r="Z32" i="5"/>
  <c r="AA32" i="5"/>
  <c r="AB32" i="5"/>
  <c r="X33" i="5"/>
  <c r="Y33" i="5"/>
  <c r="Z33" i="5"/>
  <c r="AA33" i="5"/>
  <c r="AB33" i="5"/>
  <c r="X34" i="5"/>
  <c r="Y34" i="5"/>
  <c r="Z34" i="5"/>
  <c r="AA34" i="5"/>
  <c r="AB34" i="5"/>
  <c r="X35" i="5"/>
  <c r="Y35" i="5"/>
  <c r="Z35" i="5"/>
  <c r="AA35" i="5"/>
  <c r="AB35" i="5"/>
  <c r="X36" i="5"/>
  <c r="Y36" i="5"/>
  <c r="Z36" i="5"/>
  <c r="AA36" i="5"/>
  <c r="AB36" i="5"/>
  <c r="X37" i="5"/>
  <c r="Y37" i="5"/>
  <c r="Z37" i="5"/>
  <c r="AA37" i="5"/>
  <c r="AB37" i="5"/>
  <c r="X38" i="5"/>
  <c r="Y38" i="5"/>
  <c r="Z38" i="5"/>
  <c r="AA38" i="5"/>
  <c r="AB38" i="5"/>
  <c r="X39" i="5"/>
  <c r="Y39" i="5"/>
  <c r="Z39" i="5"/>
  <c r="AA39" i="5"/>
  <c r="AB39" i="5"/>
  <c r="X40" i="5"/>
  <c r="Y40" i="5"/>
  <c r="Z40" i="5"/>
  <c r="AA40" i="5"/>
  <c r="AB40" i="5"/>
  <c r="X41" i="5"/>
  <c r="Y41" i="5"/>
  <c r="Z41" i="5"/>
  <c r="AA41" i="5"/>
  <c r="AB41" i="5"/>
  <c r="X42" i="5"/>
  <c r="Y42" i="5"/>
  <c r="Z42" i="5"/>
  <c r="AA42" i="5"/>
  <c r="AB42" i="5"/>
  <c r="X43" i="5"/>
  <c r="Y43" i="5"/>
  <c r="Z43" i="5"/>
  <c r="AA43" i="5"/>
  <c r="AB43" i="5"/>
  <c r="X44" i="5"/>
  <c r="Y44" i="5"/>
  <c r="Z44" i="5"/>
  <c r="AA44" i="5"/>
  <c r="AB44" i="5"/>
  <c r="X45" i="5"/>
  <c r="Y45" i="5"/>
  <c r="Z45" i="5"/>
  <c r="AA45" i="5"/>
  <c r="AB45" i="5"/>
  <c r="X46" i="5"/>
  <c r="Y46" i="5"/>
  <c r="Z46" i="5"/>
  <c r="AA46" i="5"/>
  <c r="AB46" i="5"/>
  <c r="X47" i="5"/>
  <c r="Y47" i="5"/>
  <c r="Z47" i="5"/>
  <c r="AA47" i="5"/>
  <c r="AB47" i="5"/>
  <c r="X48" i="5"/>
  <c r="Y48" i="5"/>
  <c r="Z48" i="5"/>
  <c r="AA48" i="5"/>
  <c r="AB48" i="5"/>
  <c r="X49" i="5"/>
  <c r="Y49" i="5"/>
  <c r="Z49" i="5"/>
  <c r="AA49" i="5"/>
  <c r="AB49" i="5"/>
  <c r="X50" i="5"/>
  <c r="Y50" i="5"/>
  <c r="Z50" i="5"/>
  <c r="AA50" i="5"/>
  <c r="AB50" i="5"/>
  <c r="X51" i="5"/>
  <c r="Y51" i="5"/>
  <c r="Z51" i="5"/>
  <c r="AA51" i="5"/>
  <c r="AB51" i="5"/>
  <c r="X52" i="5"/>
  <c r="Y52" i="5"/>
  <c r="Z52" i="5"/>
  <c r="AA52" i="5"/>
  <c r="AB52" i="5"/>
  <c r="X53" i="5"/>
  <c r="Y53" i="5"/>
  <c r="Z53" i="5"/>
  <c r="AA53" i="5"/>
  <c r="AB53" i="5"/>
  <c r="X54" i="5"/>
  <c r="Y54" i="5"/>
  <c r="Z54" i="5"/>
  <c r="AA54" i="5"/>
  <c r="AB54" i="5"/>
  <c r="X55" i="5"/>
  <c r="Y55" i="5"/>
  <c r="Z55" i="5"/>
  <c r="AA55" i="5"/>
  <c r="AB55" i="5"/>
  <c r="X56" i="5"/>
  <c r="Y56" i="5"/>
  <c r="Z56" i="5"/>
  <c r="AA56" i="5"/>
  <c r="AB56" i="5"/>
  <c r="X57" i="5"/>
  <c r="Y57" i="5"/>
  <c r="Z57" i="5"/>
  <c r="AA57" i="5"/>
  <c r="AB57" i="5"/>
  <c r="X58" i="5"/>
  <c r="Y58" i="5"/>
  <c r="Z58" i="5"/>
  <c r="AA58" i="5"/>
  <c r="AB58" i="5"/>
  <c r="X59" i="5"/>
  <c r="Y59" i="5"/>
  <c r="Z59" i="5"/>
  <c r="AA59" i="5"/>
  <c r="AB59" i="5"/>
  <c r="X60" i="5"/>
  <c r="Y60" i="5"/>
  <c r="Z60" i="5"/>
  <c r="AA60" i="5"/>
  <c r="AB60" i="5"/>
  <c r="X61" i="5"/>
  <c r="Y61" i="5"/>
  <c r="Z61" i="5"/>
  <c r="AA61" i="5"/>
  <c r="AB61" i="5"/>
  <c r="X62" i="5"/>
  <c r="Y62" i="5"/>
  <c r="Z62" i="5"/>
  <c r="AA62" i="5"/>
  <c r="AB62" i="5"/>
  <c r="X63" i="5"/>
  <c r="Y63" i="5"/>
  <c r="Z63" i="5"/>
  <c r="AA63" i="5"/>
  <c r="AB63" i="5"/>
  <c r="X64" i="5"/>
  <c r="Y64" i="5"/>
  <c r="Z64" i="5"/>
  <c r="AA64" i="5"/>
  <c r="AB64" i="5"/>
  <c r="X65" i="5"/>
  <c r="Y65" i="5"/>
  <c r="Z65" i="5"/>
  <c r="AA65" i="5"/>
  <c r="AB65" i="5"/>
  <c r="X66" i="5"/>
  <c r="Y66" i="5"/>
  <c r="Z66" i="5"/>
  <c r="AA66" i="5"/>
  <c r="AB66" i="5"/>
  <c r="X67" i="5"/>
  <c r="Y67" i="5"/>
  <c r="Z67" i="5"/>
  <c r="AA67" i="5"/>
  <c r="AB67" i="5"/>
  <c r="X68" i="5"/>
  <c r="Y68" i="5"/>
  <c r="Z68" i="5"/>
  <c r="AA68" i="5"/>
  <c r="AB68" i="5"/>
  <c r="X69" i="5"/>
  <c r="Y69" i="5"/>
  <c r="Z69" i="5"/>
  <c r="AA69" i="5"/>
  <c r="AB69" i="5"/>
  <c r="X70" i="5"/>
  <c r="Y70" i="5"/>
  <c r="Z70" i="5"/>
  <c r="AA70" i="5"/>
  <c r="AB70" i="5"/>
  <c r="X71" i="5"/>
  <c r="Y71" i="5"/>
  <c r="Z71" i="5"/>
  <c r="AA71" i="5"/>
  <c r="AB71" i="5"/>
  <c r="X72" i="5"/>
  <c r="Y72" i="5"/>
  <c r="Z72" i="5"/>
  <c r="AA72" i="5"/>
  <c r="AB72" i="5"/>
  <c r="X73" i="5"/>
  <c r="Y73" i="5"/>
  <c r="Z73" i="5"/>
  <c r="AA73" i="5"/>
  <c r="AB73" i="5"/>
  <c r="X74" i="5"/>
  <c r="Y74" i="5"/>
  <c r="Z74" i="5"/>
  <c r="AA74" i="5"/>
  <c r="AB74" i="5"/>
  <c r="X75" i="5"/>
  <c r="Y75" i="5"/>
  <c r="Z75" i="5"/>
  <c r="AA75" i="5"/>
  <c r="AB75" i="5"/>
  <c r="X76" i="5"/>
  <c r="Y76" i="5"/>
  <c r="Z76" i="5"/>
  <c r="AA76" i="5"/>
  <c r="AB76" i="5"/>
  <c r="X77" i="5"/>
  <c r="Y77" i="5"/>
  <c r="Z77" i="5"/>
  <c r="AA77" i="5"/>
  <c r="AB77" i="5"/>
  <c r="X78" i="5"/>
  <c r="Y78" i="5"/>
  <c r="Z78" i="5"/>
  <c r="AA78" i="5"/>
  <c r="AB78" i="5"/>
  <c r="X79" i="5"/>
  <c r="Y79" i="5"/>
  <c r="Z79" i="5"/>
  <c r="AA79" i="5"/>
  <c r="AB79" i="5"/>
  <c r="X80" i="5"/>
  <c r="Y80" i="5"/>
  <c r="Z80" i="5"/>
  <c r="AA80" i="5"/>
  <c r="AB80" i="5"/>
  <c r="X81" i="5"/>
  <c r="Y81" i="5"/>
  <c r="Z81" i="5"/>
  <c r="AA81" i="5"/>
  <c r="AB81" i="5"/>
  <c r="X82" i="5"/>
  <c r="Y82" i="5"/>
  <c r="Z82" i="5"/>
  <c r="AA82" i="5"/>
  <c r="AB82" i="5"/>
  <c r="X83" i="5"/>
  <c r="Y83" i="5"/>
  <c r="Z83" i="5"/>
  <c r="AA83" i="5"/>
  <c r="AB83" i="5"/>
  <c r="X84" i="5"/>
  <c r="Y84" i="5"/>
  <c r="Z84" i="5"/>
  <c r="AA84" i="5"/>
  <c r="AB84" i="5"/>
  <c r="X85" i="5"/>
  <c r="Y85" i="5"/>
  <c r="Z85" i="5"/>
  <c r="AA85" i="5"/>
  <c r="AB85" i="5"/>
  <c r="X86" i="5"/>
  <c r="Y86" i="5"/>
  <c r="Z86" i="5"/>
  <c r="AA86" i="5"/>
  <c r="AB86" i="5"/>
  <c r="X87" i="5"/>
  <c r="Y87" i="5"/>
  <c r="Z87" i="5"/>
  <c r="AA87" i="5"/>
  <c r="AB87" i="5"/>
  <c r="X88" i="5"/>
  <c r="Y88" i="5"/>
  <c r="Z88" i="5"/>
  <c r="AA88" i="5"/>
  <c r="AB88" i="5"/>
  <c r="X89" i="5"/>
  <c r="Y89" i="5"/>
  <c r="Z89" i="5"/>
  <c r="AA89" i="5"/>
  <c r="AB89" i="5"/>
  <c r="X90" i="5"/>
  <c r="Y90" i="5"/>
  <c r="Z90" i="5"/>
  <c r="AA90" i="5"/>
  <c r="AB90" i="5"/>
  <c r="X91" i="5"/>
  <c r="Y91" i="5"/>
  <c r="Z91" i="5"/>
  <c r="AA91" i="5"/>
  <c r="AB91" i="5"/>
  <c r="X92" i="5"/>
  <c r="Y92" i="5"/>
  <c r="Z92" i="5"/>
  <c r="AA92" i="5"/>
  <c r="AB92" i="5"/>
  <c r="X93" i="5"/>
  <c r="Y93" i="5"/>
  <c r="Z93" i="5"/>
  <c r="AA93" i="5"/>
  <c r="AB93" i="5"/>
  <c r="X94" i="5"/>
  <c r="Y94" i="5"/>
  <c r="Z94" i="5"/>
  <c r="AA94" i="5"/>
  <c r="AB94" i="5"/>
  <c r="X95" i="5"/>
  <c r="Y95" i="5"/>
  <c r="Z95" i="5"/>
  <c r="AA95" i="5"/>
  <c r="AB95" i="5"/>
  <c r="X96" i="5"/>
  <c r="Y96" i="5"/>
  <c r="Z96" i="5"/>
  <c r="AA96" i="5"/>
  <c r="AB96" i="5"/>
  <c r="X97" i="5"/>
  <c r="Y97" i="5"/>
  <c r="Z97" i="5"/>
  <c r="AA97" i="5"/>
  <c r="AB97" i="5"/>
  <c r="X98" i="5"/>
  <c r="Y98" i="5"/>
  <c r="Z98" i="5"/>
  <c r="AA98" i="5"/>
  <c r="AB98" i="5"/>
  <c r="X99" i="5"/>
  <c r="Y99" i="5"/>
  <c r="Z99" i="5"/>
  <c r="AA99" i="5"/>
  <c r="AB99" i="5"/>
  <c r="X100" i="5"/>
  <c r="Y100" i="5"/>
  <c r="Z100" i="5"/>
  <c r="AA100" i="5"/>
  <c r="AB100" i="5"/>
  <c r="X101" i="5"/>
  <c r="Y101" i="5"/>
  <c r="Z101" i="5"/>
  <c r="AA101" i="5"/>
  <c r="AB101" i="5"/>
  <c r="X102" i="5"/>
  <c r="Y102" i="5"/>
  <c r="Z102" i="5"/>
  <c r="AA102" i="5"/>
  <c r="AB102" i="5"/>
  <c r="X103" i="5"/>
  <c r="Y103" i="5"/>
  <c r="Z103" i="5"/>
  <c r="AA103" i="5"/>
  <c r="AB103" i="5"/>
  <c r="X104" i="5"/>
  <c r="Y104" i="5"/>
  <c r="Z104" i="5"/>
  <c r="AA104" i="5"/>
  <c r="AB104" i="5"/>
  <c r="X105" i="5"/>
  <c r="Y105" i="5"/>
  <c r="Z105" i="5"/>
  <c r="AA105" i="5"/>
  <c r="AB105" i="5"/>
  <c r="X106" i="5"/>
  <c r="Y106" i="5"/>
  <c r="Z106" i="5"/>
  <c r="AA106" i="5"/>
  <c r="AB106" i="5"/>
  <c r="X107" i="5"/>
  <c r="Y107" i="5"/>
  <c r="Z107" i="5"/>
  <c r="AA107" i="5"/>
  <c r="AB107" i="5"/>
  <c r="X108" i="5"/>
  <c r="Y108" i="5"/>
  <c r="Z108" i="5"/>
  <c r="AA108" i="5"/>
  <c r="AB108" i="5"/>
  <c r="X109" i="5"/>
  <c r="Y109" i="5"/>
  <c r="Z109" i="5"/>
  <c r="AA109" i="5"/>
  <c r="AB109" i="5"/>
  <c r="X110" i="5"/>
  <c r="Y110" i="5"/>
  <c r="Z110" i="5"/>
  <c r="AA110" i="5"/>
  <c r="AB110" i="5"/>
  <c r="X111" i="5"/>
  <c r="Y111" i="5"/>
  <c r="Z111" i="5"/>
  <c r="AA111" i="5"/>
  <c r="AB111" i="5"/>
  <c r="X112" i="5"/>
  <c r="Y112" i="5"/>
  <c r="Z112" i="5"/>
  <c r="AA112" i="5"/>
  <c r="AB112" i="5"/>
  <c r="X113" i="5"/>
  <c r="Y113" i="5"/>
  <c r="Z113" i="5"/>
  <c r="AA113" i="5"/>
  <c r="AB113" i="5"/>
  <c r="X114" i="5"/>
  <c r="Y114" i="5"/>
  <c r="Z114" i="5"/>
  <c r="AA114" i="5"/>
  <c r="AB114" i="5"/>
  <c r="X115" i="5"/>
  <c r="Y115" i="5"/>
  <c r="Z115" i="5"/>
  <c r="AA115" i="5"/>
  <c r="AB115" i="5"/>
  <c r="X116" i="5"/>
  <c r="Y116" i="5"/>
  <c r="Z116" i="5"/>
  <c r="AA116" i="5"/>
  <c r="AB116" i="5"/>
  <c r="X117" i="5"/>
  <c r="Y117" i="5"/>
  <c r="Z117" i="5"/>
  <c r="AA117" i="5"/>
  <c r="AB117" i="5"/>
  <c r="X118" i="5"/>
  <c r="Y118" i="5"/>
  <c r="Z118" i="5"/>
  <c r="AA118" i="5"/>
  <c r="AB118" i="5"/>
  <c r="X119" i="5"/>
  <c r="Y119" i="5"/>
  <c r="Z119" i="5"/>
  <c r="AA119" i="5"/>
  <c r="AB119" i="5"/>
  <c r="X120" i="5"/>
  <c r="Y120" i="5"/>
  <c r="Z120" i="5"/>
  <c r="AA120" i="5"/>
  <c r="AB120" i="5"/>
  <c r="X121" i="5"/>
  <c r="Y121" i="5"/>
  <c r="Z121" i="5"/>
  <c r="AA121" i="5"/>
  <c r="AB121" i="5"/>
  <c r="X122" i="5"/>
  <c r="Y122" i="5"/>
  <c r="Z122" i="5"/>
  <c r="AA122" i="5"/>
  <c r="AB122" i="5"/>
  <c r="X123" i="5"/>
  <c r="Y123" i="5"/>
  <c r="Z123" i="5"/>
  <c r="AA123" i="5"/>
  <c r="AB123" i="5"/>
  <c r="X124" i="5"/>
  <c r="Y124" i="5"/>
  <c r="Z124" i="5"/>
  <c r="AA124" i="5"/>
  <c r="AB124" i="5"/>
  <c r="X125" i="5"/>
  <c r="Y125" i="5"/>
  <c r="Z125" i="5"/>
  <c r="AA125" i="5"/>
  <c r="AB125" i="5"/>
  <c r="X126" i="5"/>
  <c r="Y126" i="5"/>
  <c r="Z126" i="5"/>
  <c r="AA126" i="5"/>
  <c r="AB126" i="5"/>
  <c r="X127" i="5"/>
  <c r="Y127" i="5"/>
  <c r="Z127" i="5"/>
  <c r="AA127" i="5"/>
  <c r="AB127" i="5"/>
  <c r="X128" i="5"/>
  <c r="Y128" i="5"/>
  <c r="Z128" i="5"/>
  <c r="AA128" i="5"/>
  <c r="AB128" i="5"/>
  <c r="X129" i="5"/>
  <c r="Y129" i="5"/>
  <c r="Z129" i="5"/>
  <c r="AA129" i="5"/>
  <c r="AB129" i="5"/>
  <c r="X130" i="5"/>
  <c r="Y130" i="5"/>
  <c r="Z130" i="5"/>
  <c r="AA130" i="5"/>
  <c r="AB130" i="5"/>
  <c r="X131" i="5"/>
  <c r="Y131" i="5"/>
  <c r="Z131" i="5"/>
  <c r="AA131" i="5"/>
  <c r="AB131" i="5"/>
  <c r="X132" i="5"/>
  <c r="Y132" i="5"/>
  <c r="Z132" i="5"/>
  <c r="AA132" i="5"/>
  <c r="AB132" i="5"/>
  <c r="X133" i="5"/>
  <c r="Y133" i="5"/>
  <c r="Z133" i="5"/>
  <c r="AA133" i="5"/>
  <c r="AB133" i="5"/>
  <c r="X134" i="5"/>
  <c r="Y134" i="5"/>
  <c r="Z134" i="5"/>
  <c r="AA134" i="5"/>
  <c r="AB134" i="5"/>
  <c r="X135" i="5"/>
  <c r="Y135" i="5"/>
  <c r="Z135" i="5"/>
  <c r="AA135" i="5"/>
  <c r="AB135" i="5"/>
  <c r="X136" i="5"/>
  <c r="Y136" i="5"/>
  <c r="Z136" i="5"/>
  <c r="AA136" i="5"/>
  <c r="AB136" i="5"/>
  <c r="X137" i="5"/>
  <c r="Y137" i="5"/>
  <c r="Z137" i="5"/>
  <c r="AA137" i="5"/>
  <c r="AB137" i="5"/>
  <c r="X138" i="5"/>
  <c r="Y138" i="5"/>
  <c r="Z138" i="5"/>
  <c r="AA138" i="5"/>
  <c r="AB138" i="5"/>
  <c r="X139" i="5"/>
  <c r="Y139" i="5"/>
  <c r="Z139" i="5"/>
  <c r="AA139" i="5"/>
  <c r="AB139" i="5"/>
  <c r="X140" i="5"/>
  <c r="Y140" i="5"/>
  <c r="Z140" i="5"/>
  <c r="AA140" i="5"/>
  <c r="AB140" i="5"/>
  <c r="X141" i="5"/>
  <c r="Y141" i="5"/>
  <c r="Z141" i="5"/>
  <c r="AA141" i="5"/>
  <c r="AB141" i="5"/>
  <c r="X142" i="5"/>
  <c r="Y142" i="5"/>
  <c r="Z142" i="5"/>
  <c r="AA142" i="5"/>
  <c r="AB142" i="5"/>
  <c r="X143" i="5"/>
  <c r="Y143" i="5"/>
  <c r="Z143" i="5"/>
  <c r="AA143" i="5"/>
  <c r="AB143" i="5"/>
  <c r="X144" i="5"/>
  <c r="Y144" i="5"/>
  <c r="Z144" i="5"/>
  <c r="AA144" i="5"/>
  <c r="AB144" i="5"/>
  <c r="X145" i="5"/>
  <c r="Y145" i="5"/>
  <c r="Z145" i="5"/>
  <c r="AA145" i="5"/>
  <c r="AB145" i="5"/>
  <c r="X146" i="5"/>
  <c r="Y146" i="5"/>
  <c r="Z146" i="5"/>
  <c r="AA146" i="5"/>
  <c r="AB146" i="5"/>
  <c r="X147" i="5"/>
  <c r="Y147" i="5"/>
  <c r="Z147" i="5"/>
  <c r="AA147" i="5"/>
  <c r="AB147" i="5"/>
  <c r="X148" i="5"/>
  <c r="Y148" i="5"/>
  <c r="Z148" i="5"/>
  <c r="AA148" i="5"/>
  <c r="AB148" i="5"/>
  <c r="X149" i="5"/>
  <c r="Y149" i="5"/>
  <c r="Z149" i="5"/>
  <c r="AA149" i="5"/>
  <c r="AB149" i="5"/>
  <c r="X150" i="5"/>
  <c r="Y150" i="5"/>
  <c r="Z150" i="5"/>
  <c r="AA150" i="5"/>
  <c r="AB150" i="5"/>
  <c r="X151" i="5"/>
  <c r="Y151" i="5"/>
  <c r="Z151" i="5"/>
  <c r="AA151" i="5"/>
  <c r="AB151" i="5"/>
  <c r="X152" i="5"/>
  <c r="Y152" i="5"/>
  <c r="Z152" i="5"/>
  <c r="AA152" i="5"/>
  <c r="AB152" i="5"/>
  <c r="X153" i="5"/>
  <c r="Y153" i="5"/>
  <c r="Z153" i="5"/>
  <c r="AA153" i="5"/>
  <c r="AB153" i="5"/>
  <c r="X154" i="5"/>
  <c r="Y154" i="5"/>
  <c r="Z154" i="5"/>
  <c r="AA154" i="5"/>
  <c r="AB154" i="5"/>
  <c r="X155" i="5"/>
  <c r="Y155" i="5"/>
  <c r="Z155" i="5"/>
  <c r="AA155" i="5"/>
  <c r="AB155" i="5"/>
  <c r="X156" i="5"/>
  <c r="Y156" i="5"/>
  <c r="Z156" i="5"/>
  <c r="AA156" i="5"/>
  <c r="AB156" i="5"/>
  <c r="X157" i="5"/>
  <c r="Y157" i="5"/>
  <c r="Z157" i="5"/>
  <c r="AA157" i="5"/>
  <c r="AB157" i="5"/>
  <c r="X158" i="5"/>
  <c r="Y158" i="5"/>
  <c r="Z158" i="5"/>
  <c r="AA158" i="5"/>
  <c r="AB158" i="5"/>
  <c r="X159" i="5"/>
  <c r="Y159" i="5"/>
  <c r="Z159" i="5"/>
  <c r="AA159" i="5"/>
  <c r="AB159" i="5"/>
  <c r="X160" i="5"/>
  <c r="Y160" i="5"/>
  <c r="Z160" i="5"/>
  <c r="AA160" i="5"/>
  <c r="AB160" i="5"/>
  <c r="X161" i="5"/>
  <c r="Y161" i="5"/>
  <c r="Z161" i="5"/>
  <c r="AA161" i="5"/>
  <c r="AB161" i="5"/>
  <c r="X162" i="5"/>
  <c r="Y162" i="5"/>
  <c r="Z162" i="5"/>
  <c r="AA162" i="5"/>
  <c r="AB162" i="5"/>
  <c r="X163" i="5"/>
  <c r="Y163" i="5"/>
  <c r="Z163" i="5"/>
  <c r="AA163" i="5"/>
  <c r="AB163" i="5"/>
  <c r="X164" i="5"/>
  <c r="Y164" i="5"/>
  <c r="Z164" i="5"/>
  <c r="AA164" i="5"/>
  <c r="AB164" i="5"/>
  <c r="X165" i="5"/>
  <c r="Y165" i="5"/>
  <c r="Z165" i="5"/>
  <c r="AA165" i="5"/>
  <c r="AB165" i="5"/>
  <c r="X166" i="5"/>
  <c r="Y166" i="5"/>
  <c r="Z166" i="5"/>
  <c r="AA166" i="5"/>
  <c r="AB166" i="5"/>
  <c r="X167" i="5"/>
  <c r="Y167" i="5"/>
  <c r="Z167" i="5"/>
  <c r="AA167" i="5"/>
  <c r="AB167" i="5"/>
  <c r="X168" i="5"/>
  <c r="Y168" i="5"/>
  <c r="Z168" i="5"/>
  <c r="AA168" i="5"/>
  <c r="AB168" i="5"/>
  <c r="X169" i="5"/>
  <c r="Y169" i="5"/>
  <c r="Z169" i="5"/>
  <c r="AA169" i="5"/>
  <c r="AB169" i="5"/>
  <c r="X170" i="5"/>
  <c r="Y170" i="5"/>
  <c r="Z170" i="5"/>
  <c r="AA170" i="5"/>
  <c r="AB170" i="5"/>
  <c r="X171" i="5"/>
  <c r="Y171" i="5"/>
  <c r="Z171" i="5"/>
  <c r="AA171" i="5"/>
  <c r="AB171" i="5"/>
  <c r="X172" i="5"/>
  <c r="Y172" i="5"/>
  <c r="Z172" i="5"/>
  <c r="AA172" i="5"/>
  <c r="AB172" i="5"/>
  <c r="X173" i="5"/>
  <c r="Y173" i="5"/>
  <c r="Z173" i="5"/>
  <c r="AA173" i="5"/>
  <c r="AB173" i="5"/>
  <c r="X174" i="5"/>
  <c r="Y174" i="5"/>
  <c r="Z174" i="5"/>
  <c r="AA174" i="5"/>
  <c r="AB174" i="5"/>
  <c r="X175" i="5"/>
  <c r="Y175" i="5"/>
  <c r="Z175" i="5"/>
  <c r="AA175" i="5"/>
  <c r="AB175" i="5"/>
  <c r="X176" i="5"/>
  <c r="Y176" i="5"/>
  <c r="Z176" i="5"/>
  <c r="AA176" i="5"/>
  <c r="AB176" i="5"/>
  <c r="X177" i="5"/>
  <c r="Y177" i="5"/>
  <c r="Z177" i="5"/>
  <c r="AA177" i="5"/>
  <c r="AB177" i="5"/>
  <c r="X178" i="5"/>
  <c r="Y178" i="5"/>
  <c r="Z178" i="5"/>
  <c r="AA178" i="5"/>
  <c r="AB178" i="5"/>
  <c r="X179" i="5"/>
  <c r="Y179" i="5"/>
  <c r="Z179" i="5"/>
  <c r="AA179" i="5"/>
  <c r="AB179" i="5"/>
  <c r="X180" i="5"/>
  <c r="Y180" i="5"/>
  <c r="Z180" i="5"/>
  <c r="AA180" i="5"/>
  <c r="AB180" i="5"/>
  <c r="X181" i="5"/>
  <c r="Y181" i="5"/>
  <c r="Z181" i="5"/>
  <c r="AA181" i="5"/>
  <c r="AB181" i="5"/>
  <c r="X182" i="5"/>
  <c r="Y182" i="5"/>
  <c r="Z182" i="5"/>
  <c r="AA182" i="5"/>
  <c r="AB182" i="5"/>
  <c r="X183" i="5"/>
  <c r="Y183" i="5"/>
  <c r="Z183" i="5"/>
  <c r="AA183" i="5"/>
  <c r="AB183" i="5"/>
  <c r="X184" i="5"/>
  <c r="Y184" i="5"/>
  <c r="Z184" i="5"/>
  <c r="AA184" i="5"/>
  <c r="AB184" i="5"/>
  <c r="X185" i="5"/>
  <c r="Y185" i="5"/>
  <c r="Z185" i="5"/>
  <c r="AA185" i="5"/>
  <c r="AB185" i="5"/>
  <c r="X186" i="5"/>
  <c r="Y186" i="5"/>
  <c r="Z186" i="5"/>
  <c r="AA186" i="5"/>
  <c r="AB186" i="5"/>
  <c r="X187" i="5"/>
  <c r="Y187" i="5"/>
  <c r="Z187" i="5"/>
  <c r="AA187" i="5"/>
  <c r="AB187" i="5"/>
  <c r="X188" i="5"/>
  <c r="Y188" i="5"/>
  <c r="Z188" i="5"/>
  <c r="AA188" i="5"/>
  <c r="AB188" i="5"/>
  <c r="X189" i="5"/>
  <c r="Y189" i="5"/>
  <c r="Z189" i="5"/>
  <c r="AA189" i="5"/>
  <c r="AB189" i="5"/>
  <c r="X190" i="5"/>
  <c r="Y190" i="5"/>
  <c r="Z190" i="5"/>
  <c r="AA190" i="5"/>
  <c r="AB190" i="5"/>
  <c r="X191" i="5"/>
  <c r="Y191" i="5"/>
  <c r="Z191" i="5"/>
  <c r="AA191" i="5"/>
  <c r="AB191" i="5"/>
  <c r="X192" i="5"/>
  <c r="Y192" i="5"/>
  <c r="Z192" i="5"/>
  <c r="AA192" i="5"/>
  <c r="AB192" i="5"/>
  <c r="X193" i="5"/>
  <c r="Y193" i="5"/>
  <c r="Z193" i="5"/>
  <c r="AA193" i="5"/>
  <c r="AB193" i="5"/>
  <c r="X194" i="5"/>
  <c r="Y194" i="5"/>
  <c r="Z194" i="5"/>
  <c r="AA194" i="5"/>
  <c r="AB194" i="5"/>
  <c r="X195" i="5"/>
  <c r="Y195" i="5"/>
  <c r="Z195" i="5"/>
  <c r="AA195" i="5"/>
  <c r="AB195" i="5"/>
  <c r="X196" i="5"/>
  <c r="Y196" i="5"/>
  <c r="Z196" i="5"/>
  <c r="AA196" i="5"/>
  <c r="AB196" i="5"/>
  <c r="X197" i="5"/>
  <c r="Y197" i="5"/>
  <c r="Z197" i="5"/>
  <c r="AA197" i="5"/>
  <c r="AB197" i="5"/>
  <c r="X198" i="5"/>
  <c r="Y198" i="5"/>
  <c r="Z198" i="5"/>
  <c r="AA198" i="5"/>
  <c r="AB198" i="5"/>
  <c r="X199" i="5"/>
  <c r="Y199" i="5"/>
  <c r="Z199" i="5"/>
  <c r="AA199" i="5"/>
  <c r="AB199" i="5"/>
  <c r="X200" i="5"/>
  <c r="Y200" i="5"/>
  <c r="Z200" i="5"/>
  <c r="AA200" i="5"/>
  <c r="AB200" i="5"/>
  <c r="X201" i="5"/>
  <c r="Y201" i="5"/>
  <c r="Z201" i="5"/>
  <c r="AA201" i="5"/>
  <c r="AB201" i="5"/>
  <c r="X202" i="5"/>
  <c r="Y202" i="5"/>
  <c r="Z202" i="5"/>
  <c r="AA202" i="5"/>
  <c r="AB202" i="5"/>
  <c r="X203" i="5"/>
  <c r="Y203" i="5"/>
  <c r="Z203" i="5"/>
  <c r="AA203" i="5"/>
  <c r="AB203" i="5"/>
  <c r="X204" i="5"/>
  <c r="Y204" i="5"/>
  <c r="Z204" i="5"/>
  <c r="AA204" i="5"/>
  <c r="AB204" i="5"/>
  <c r="X205" i="5"/>
  <c r="Y205" i="5"/>
  <c r="Z205" i="5"/>
  <c r="AA205" i="5"/>
  <c r="AB205" i="5"/>
  <c r="X206" i="5"/>
  <c r="Y206" i="5"/>
  <c r="Z206" i="5"/>
  <c r="AA206" i="5"/>
  <c r="AB206" i="5"/>
  <c r="X207" i="5"/>
  <c r="Y207" i="5"/>
  <c r="Z207" i="5"/>
  <c r="AA207" i="5"/>
  <c r="AB207" i="5"/>
  <c r="X208" i="5"/>
  <c r="Y208" i="5"/>
  <c r="Z208" i="5"/>
  <c r="AA208" i="5"/>
  <c r="AB208" i="5"/>
  <c r="X209" i="5"/>
  <c r="Y209" i="5"/>
  <c r="Z209" i="5"/>
  <c r="AA209" i="5"/>
  <c r="AB209" i="5"/>
  <c r="X210" i="5"/>
  <c r="Y210" i="5"/>
  <c r="Z210" i="5"/>
  <c r="AA210" i="5"/>
  <c r="AB210" i="5"/>
  <c r="Y19" i="5"/>
  <c r="Z19" i="5"/>
  <c r="AA19" i="5"/>
  <c r="AB19" i="5"/>
  <c r="X19" i="5"/>
  <c r="Q19" i="5"/>
  <c r="E6" i="5" l="1"/>
  <c r="E5" i="5" s="1"/>
  <c r="E4" i="5" s="1"/>
  <c r="L3" i="5" s="1"/>
  <c r="AG34" i="20"/>
  <c r="AG35" i="20" s="1"/>
  <c r="AF31" i="20"/>
  <c r="AG30" i="20"/>
  <c r="E21" i="20"/>
  <c r="B11" i="20"/>
  <c r="O79" i="20"/>
  <c r="G79" i="20"/>
  <c r="O158" i="20"/>
  <c r="G159" i="20"/>
  <c r="AG31" i="20"/>
  <c r="N171" i="20"/>
  <c r="F171" i="20"/>
  <c r="O36" i="20"/>
  <c r="G36" i="20"/>
  <c r="O62" i="20"/>
  <c r="G63" i="20"/>
  <c r="AH34" i="20"/>
  <c r="AH35" i="20" s="1"/>
  <c r="D18" i="20"/>
  <c r="D17" i="20" s="1"/>
  <c r="N101" i="20"/>
  <c r="O66" i="20"/>
  <c r="N123" i="20"/>
  <c r="O105" i="20"/>
  <c r="O101" i="20"/>
  <c r="O110" i="20"/>
  <c r="O58" i="20"/>
  <c r="O145" i="20"/>
  <c r="N97" i="20"/>
  <c r="O188" i="20"/>
  <c r="N92" i="20"/>
  <c r="N192" i="20"/>
  <c r="O97" i="20"/>
  <c r="O49" i="20"/>
  <c r="O88" i="20"/>
  <c r="N58" i="20"/>
  <c r="N201" i="20"/>
  <c r="O201" i="20"/>
  <c r="N175" i="20"/>
  <c r="N197" i="20"/>
  <c r="O136" i="20"/>
  <c r="O205" i="20"/>
  <c r="O114" i="20"/>
  <c r="O149" i="20"/>
  <c r="O153" i="20"/>
  <c r="O210" i="20"/>
  <c r="N75" i="20"/>
  <c r="O44" i="20"/>
  <c r="O197" i="20"/>
  <c r="N162" i="20"/>
  <c r="O162" i="20"/>
  <c r="AG36" i="20"/>
  <c r="N179" i="20"/>
  <c r="N71" i="20"/>
  <c r="N49" i="20"/>
  <c r="N205" i="20"/>
  <c r="O192" i="20"/>
  <c r="O175" i="20"/>
  <c r="O132" i="20"/>
  <c r="O127" i="20"/>
  <c r="N66" i="20"/>
  <c r="N114" i="20"/>
  <c r="N105" i="20"/>
  <c r="N132" i="20"/>
  <c r="O83" i="20"/>
  <c r="N118" i="20"/>
  <c r="N153" i="20"/>
  <c r="N110" i="20"/>
  <c r="N27" i="20"/>
  <c r="N53" i="20"/>
  <c r="O53" i="20"/>
  <c r="N145" i="20"/>
  <c r="N136" i="20"/>
  <c r="N210" i="20"/>
  <c r="N188" i="20"/>
  <c r="N140" i="20"/>
  <c r="O118" i="20"/>
  <c r="N184" i="20"/>
  <c r="N79" i="20"/>
  <c r="O92" i="20"/>
  <c r="N88" i="20"/>
  <c r="O123" i="20"/>
  <c r="N149" i="20"/>
  <c r="N62" i="20"/>
  <c r="N83" i="20"/>
  <c r="N158" i="20"/>
  <c r="O140" i="20"/>
  <c r="N166" i="20"/>
  <c r="O184" i="20"/>
  <c r="N36" i="20"/>
  <c r="O27" i="20"/>
  <c r="N40" i="20"/>
  <c r="O75" i="20"/>
  <c r="N44" i="20"/>
  <c r="N127" i="20"/>
  <c r="O179" i="20"/>
  <c r="O40" i="20"/>
  <c r="O71" i="20"/>
  <c r="O171" i="20"/>
  <c r="O166" i="20"/>
  <c r="M79" i="20"/>
  <c r="C11" i="20"/>
  <c r="C10" i="20"/>
  <c r="B10" i="20"/>
  <c r="AJ34" i="20"/>
  <c r="L175" i="20"/>
  <c r="M114" i="20"/>
  <c r="M62" i="20"/>
  <c r="AI34" i="20"/>
  <c r="M53" i="20"/>
  <c r="L132" i="20"/>
  <c r="L162" i="20"/>
  <c r="L71" i="20"/>
  <c r="L88" i="20"/>
  <c r="M27" i="20"/>
  <c r="M153" i="20"/>
  <c r="M123" i="20"/>
  <c r="L27" i="20"/>
  <c r="M201" i="20"/>
  <c r="M101" i="20"/>
  <c r="M44" i="20"/>
  <c r="L153" i="20"/>
  <c r="L171" i="20"/>
  <c r="M192" i="20"/>
  <c r="M175" i="20"/>
  <c r="L101" i="20"/>
  <c r="M179" i="20"/>
  <c r="L179" i="20"/>
  <c r="L110" i="20"/>
  <c r="M58" i="20"/>
  <c r="AD30" i="20"/>
  <c r="AE31" i="20" s="1"/>
  <c r="M132" i="20"/>
  <c r="M88" i="20"/>
  <c r="M92" i="20"/>
  <c r="L158" i="20"/>
  <c r="L66" i="20"/>
  <c r="M66" i="20"/>
  <c r="L36" i="20"/>
  <c r="L136" i="20"/>
  <c r="M49" i="20"/>
  <c r="L114" i="20"/>
  <c r="M171" i="20"/>
  <c r="L201" i="20"/>
  <c r="L44" i="20"/>
  <c r="M40" i="20"/>
  <c r="AD34" i="20"/>
  <c r="AE35" i="20" s="1"/>
  <c r="L79" i="20"/>
  <c r="L58" i="20"/>
  <c r="L62" i="20"/>
  <c r="L145" i="20"/>
  <c r="L127" i="20"/>
  <c r="M162" i="20"/>
  <c r="M188" i="20"/>
  <c r="L192" i="20"/>
  <c r="M205" i="20"/>
  <c r="L123" i="20"/>
  <c r="L118" i="20"/>
  <c r="L205" i="20"/>
  <c r="L40" i="20"/>
  <c r="M83" i="20"/>
  <c r="L210" i="20"/>
  <c r="M71" i="20"/>
  <c r="M118" i="20"/>
  <c r="L166" i="20"/>
  <c r="M158" i="20"/>
  <c r="M136" i="20"/>
  <c r="M166" i="20"/>
  <c r="M210" i="20"/>
  <c r="M97" i="20"/>
  <c r="L49" i="20"/>
  <c r="M145" i="20"/>
  <c r="B22" i="20"/>
  <c r="A21" i="20"/>
  <c r="C22" i="20"/>
  <c r="L149" i="20"/>
  <c r="L75" i="20"/>
  <c r="L53" i="20"/>
  <c r="L184" i="20"/>
  <c r="L188" i="20"/>
  <c r="L197" i="20"/>
  <c r="M105" i="20"/>
  <c r="L92" i="20"/>
  <c r="M36" i="20"/>
  <c r="M184" i="20"/>
  <c r="M149" i="20"/>
  <c r="M127" i="20"/>
  <c r="M140" i="20"/>
  <c r="A8" i="20"/>
  <c r="B9" i="20"/>
  <c r="C9" i="20"/>
  <c r="M197" i="20"/>
  <c r="M110" i="20"/>
  <c r="L97" i="20"/>
  <c r="L140" i="20"/>
  <c r="L105" i="20"/>
  <c r="L83" i="20"/>
  <c r="M75" i="20"/>
  <c r="U19" i="5"/>
  <c r="V19" i="5"/>
  <c r="T19" i="5"/>
  <c r="S19" i="5"/>
  <c r="R19" i="5"/>
  <c r="Q20" i="5"/>
  <c r="R20" i="5"/>
  <c r="S20" i="5"/>
  <c r="T20" i="5"/>
  <c r="U20" i="5"/>
  <c r="V20" i="5"/>
  <c r="W20" i="5"/>
  <c r="AP27" i="5"/>
  <c r="Q21" i="5"/>
  <c r="AJ35" i="20" l="1"/>
  <c r="E20" i="20"/>
  <c r="AH30" i="20"/>
  <c r="AH31" i="20" s="1"/>
  <c r="L19" i="20"/>
  <c r="L14" i="20" s="1"/>
  <c r="D16" i="20"/>
  <c r="D15" i="20" s="1"/>
  <c r="D14" i="20" s="1"/>
  <c r="AH36" i="20"/>
  <c r="AP33" i="5"/>
  <c r="AR31" i="5"/>
  <c r="AC18" i="5"/>
  <c r="M19" i="20"/>
  <c r="M14" i="20" s="1"/>
  <c r="M10" i="20" s="1"/>
  <c r="M6" i="20" s="1"/>
  <c r="AI35" i="20"/>
  <c r="AK34" i="20"/>
  <c r="B8" i="20"/>
  <c r="C8" i="20"/>
  <c r="A7" i="20"/>
  <c r="A6" i="20" s="1"/>
  <c r="B21" i="20"/>
  <c r="C21" i="20"/>
  <c r="A20" i="20"/>
  <c r="AQ32" i="5"/>
  <c r="U17" i="12"/>
  <c r="V17" i="12" s="1"/>
  <c r="S17" i="12"/>
  <c r="AO26" i="5"/>
  <c r="AP26" i="5" s="1"/>
  <c r="AQ26" i="5" s="1"/>
  <c r="AR26" i="5" s="1"/>
  <c r="AS26" i="5" s="1"/>
  <c r="AT26" i="5" s="1"/>
  <c r="AU26" i="5" s="1"/>
  <c r="AV26" i="5" s="1"/>
  <c r="AW26" i="5" s="1"/>
  <c r="AX26" i="5" s="1"/>
  <c r="AY26" i="5" s="1"/>
  <c r="AZ26" i="5" s="1"/>
  <c r="BA26" i="5" s="1"/>
  <c r="BB26" i="5" s="1"/>
  <c r="AO33" i="5"/>
  <c r="X17" i="12"/>
  <c r="V31" i="12"/>
  <c r="T17" i="12"/>
  <c r="A20" i="5"/>
  <c r="K8" i="12"/>
  <c r="L8" i="12"/>
  <c r="M8" i="12"/>
  <c r="N8" i="12"/>
  <c r="O8" i="12"/>
  <c r="P8" i="12"/>
  <c r="K9" i="12"/>
  <c r="L9" i="12"/>
  <c r="M9" i="12"/>
  <c r="N9" i="12"/>
  <c r="O9" i="12"/>
  <c r="P9" i="12"/>
  <c r="K10" i="12"/>
  <c r="L10" i="12"/>
  <c r="M10" i="12"/>
  <c r="N10" i="12"/>
  <c r="O10" i="12"/>
  <c r="P10" i="12"/>
  <c r="K11" i="12"/>
  <c r="L11" i="12"/>
  <c r="M11" i="12"/>
  <c r="N11" i="12"/>
  <c r="O11" i="12"/>
  <c r="P11" i="12"/>
  <c r="K12" i="12"/>
  <c r="L12" i="12"/>
  <c r="M12" i="12"/>
  <c r="N12" i="12"/>
  <c r="O12" i="12"/>
  <c r="P12" i="12"/>
  <c r="K13" i="12"/>
  <c r="L13" i="12"/>
  <c r="M13" i="12"/>
  <c r="N13" i="12"/>
  <c r="O13" i="12"/>
  <c r="P13" i="12"/>
  <c r="K14" i="12"/>
  <c r="L14" i="12"/>
  <c r="M14" i="12"/>
  <c r="N14" i="12"/>
  <c r="O14" i="12"/>
  <c r="P14" i="12"/>
  <c r="K15" i="12"/>
  <c r="L15" i="12"/>
  <c r="M15" i="12"/>
  <c r="N15" i="12"/>
  <c r="O15" i="12"/>
  <c r="P15" i="12"/>
  <c r="K16" i="12"/>
  <c r="L16" i="12"/>
  <c r="M16" i="12"/>
  <c r="N16" i="12"/>
  <c r="O16" i="12"/>
  <c r="P16" i="12"/>
  <c r="K17" i="12"/>
  <c r="L17" i="12"/>
  <c r="M17" i="12"/>
  <c r="N17" i="12"/>
  <c r="O17" i="12"/>
  <c r="P17" i="12"/>
  <c r="K18" i="12"/>
  <c r="L18" i="12"/>
  <c r="M18" i="12"/>
  <c r="N18" i="12"/>
  <c r="O18" i="12"/>
  <c r="P18" i="12"/>
  <c r="K19" i="12"/>
  <c r="L19" i="12"/>
  <c r="M19" i="12"/>
  <c r="N19" i="12"/>
  <c r="O19" i="12"/>
  <c r="P19" i="12"/>
  <c r="K20" i="12"/>
  <c r="L20" i="12"/>
  <c r="M20" i="12"/>
  <c r="N20" i="12"/>
  <c r="O20" i="12"/>
  <c r="P20" i="12"/>
  <c r="K21" i="12"/>
  <c r="L21" i="12"/>
  <c r="M21" i="12"/>
  <c r="N21" i="12"/>
  <c r="O21" i="12"/>
  <c r="P21" i="12"/>
  <c r="K22" i="12"/>
  <c r="L22" i="12"/>
  <c r="M22" i="12"/>
  <c r="N22" i="12"/>
  <c r="O22" i="12"/>
  <c r="P22" i="12"/>
  <c r="K23" i="12"/>
  <c r="L23" i="12"/>
  <c r="M23" i="12"/>
  <c r="N23" i="12"/>
  <c r="O23" i="12"/>
  <c r="P23" i="12"/>
  <c r="K24" i="12"/>
  <c r="L24" i="12"/>
  <c r="M24" i="12"/>
  <c r="N24" i="12"/>
  <c r="O24" i="12"/>
  <c r="P24" i="12"/>
  <c r="K25" i="12"/>
  <c r="L25" i="12"/>
  <c r="M25" i="12"/>
  <c r="N25" i="12"/>
  <c r="O25" i="12"/>
  <c r="P25" i="12"/>
  <c r="K26" i="12"/>
  <c r="L26" i="12"/>
  <c r="M26" i="12"/>
  <c r="N26" i="12"/>
  <c r="O26" i="12"/>
  <c r="P26" i="12"/>
  <c r="K27" i="12"/>
  <c r="L27" i="12"/>
  <c r="M27" i="12"/>
  <c r="N27" i="12"/>
  <c r="O27" i="12"/>
  <c r="P27" i="12"/>
  <c r="K28" i="12"/>
  <c r="L28" i="12"/>
  <c r="M28" i="12"/>
  <c r="N28" i="12"/>
  <c r="O28" i="12"/>
  <c r="P28" i="12"/>
  <c r="K29" i="12"/>
  <c r="L29" i="12"/>
  <c r="M29" i="12"/>
  <c r="N29" i="12"/>
  <c r="O29" i="12"/>
  <c r="P29" i="12"/>
  <c r="K30" i="12"/>
  <c r="L30" i="12"/>
  <c r="M30" i="12"/>
  <c r="N30" i="12"/>
  <c r="O30" i="12"/>
  <c r="P30" i="12"/>
  <c r="K31" i="12"/>
  <c r="L31" i="12"/>
  <c r="M31" i="12"/>
  <c r="N31" i="12"/>
  <c r="O31" i="12"/>
  <c r="P31" i="12"/>
  <c r="K32" i="12"/>
  <c r="L32" i="12"/>
  <c r="M32" i="12"/>
  <c r="N32" i="12"/>
  <c r="O32" i="12"/>
  <c r="P32" i="12"/>
  <c r="K33" i="12"/>
  <c r="L33" i="12"/>
  <c r="M33" i="12"/>
  <c r="N33" i="12"/>
  <c r="O33" i="12"/>
  <c r="P33" i="12"/>
  <c r="K34" i="12"/>
  <c r="L34" i="12"/>
  <c r="M34" i="12"/>
  <c r="N34" i="12"/>
  <c r="O34" i="12"/>
  <c r="P34" i="12"/>
  <c r="K35" i="12"/>
  <c r="L35" i="12"/>
  <c r="M35" i="12"/>
  <c r="N35" i="12"/>
  <c r="O35" i="12"/>
  <c r="P35" i="12"/>
  <c r="K36" i="12"/>
  <c r="L36" i="12"/>
  <c r="M36" i="12"/>
  <c r="N36" i="12"/>
  <c r="O36" i="12"/>
  <c r="P36" i="12"/>
  <c r="K37" i="12"/>
  <c r="L37" i="12"/>
  <c r="M37" i="12"/>
  <c r="N37" i="12"/>
  <c r="O37" i="12"/>
  <c r="P37" i="12"/>
  <c r="K38" i="12"/>
  <c r="L38" i="12"/>
  <c r="M38" i="12"/>
  <c r="N38" i="12"/>
  <c r="O38" i="12"/>
  <c r="P38" i="12"/>
  <c r="K39" i="12"/>
  <c r="L39" i="12"/>
  <c r="M39" i="12"/>
  <c r="N39" i="12"/>
  <c r="O39" i="12"/>
  <c r="P39" i="12"/>
  <c r="K40" i="12"/>
  <c r="L40" i="12"/>
  <c r="M40" i="12"/>
  <c r="N40" i="12"/>
  <c r="O40" i="12"/>
  <c r="P40" i="12"/>
  <c r="K41" i="12"/>
  <c r="L41" i="12"/>
  <c r="M41" i="12"/>
  <c r="N41" i="12"/>
  <c r="O41" i="12"/>
  <c r="P41" i="12"/>
  <c r="K42" i="12"/>
  <c r="L42" i="12"/>
  <c r="M42" i="12"/>
  <c r="N42" i="12"/>
  <c r="O42" i="12"/>
  <c r="P42" i="12"/>
  <c r="K43" i="12"/>
  <c r="L43" i="12"/>
  <c r="M43" i="12"/>
  <c r="N43" i="12"/>
  <c r="O43" i="12"/>
  <c r="P43" i="12"/>
  <c r="K44" i="12"/>
  <c r="L44" i="12"/>
  <c r="M44" i="12"/>
  <c r="N44" i="12"/>
  <c r="O44" i="12"/>
  <c r="P44" i="12"/>
  <c r="K45" i="12"/>
  <c r="L45" i="12"/>
  <c r="M45" i="12"/>
  <c r="N45" i="12"/>
  <c r="O45" i="12"/>
  <c r="P45" i="12"/>
  <c r="K46" i="12"/>
  <c r="L46" i="12"/>
  <c r="M46" i="12"/>
  <c r="N46" i="12"/>
  <c r="O46" i="12"/>
  <c r="P46" i="12"/>
  <c r="K47" i="12"/>
  <c r="L47" i="12"/>
  <c r="M47" i="12"/>
  <c r="N47" i="12"/>
  <c r="O47" i="12"/>
  <c r="P47" i="12"/>
  <c r="K48" i="12"/>
  <c r="L48" i="12"/>
  <c r="M48" i="12"/>
  <c r="N48" i="12"/>
  <c r="O48" i="12"/>
  <c r="P48" i="12"/>
  <c r="K49" i="12"/>
  <c r="L49" i="12"/>
  <c r="M49" i="12"/>
  <c r="N49" i="12"/>
  <c r="O49" i="12"/>
  <c r="P49" i="12"/>
  <c r="K50" i="12"/>
  <c r="L50" i="12"/>
  <c r="M50" i="12"/>
  <c r="N50" i="12"/>
  <c r="O50" i="12"/>
  <c r="P50" i="12"/>
  <c r="K7" i="12"/>
  <c r="L7" i="12"/>
  <c r="M7" i="12"/>
  <c r="N7" i="12"/>
  <c r="O7" i="12"/>
  <c r="P7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S31" i="12"/>
  <c r="T31" i="12" s="1"/>
  <c r="S33" i="12"/>
  <c r="T33" i="12" s="1"/>
  <c r="W31" i="12" l="1"/>
  <c r="X31" i="12" s="1"/>
  <c r="B6" i="20"/>
  <c r="C6" i="20"/>
  <c r="E19" i="20"/>
  <c r="AI30" i="20"/>
  <c r="D13" i="20"/>
  <c r="D12" i="20" s="1"/>
  <c r="D11" i="20" s="1"/>
  <c r="N31" i="20" s="1"/>
  <c r="N14" i="20"/>
  <c r="AQ27" i="5"/>
  <c r="AD19" i="5"/>
  <c r="AK35" i="20"/>
  <c r="C20" i="20"/>
  <c r="B20" i="20"/>
  <c r="A19" i="20"/>
  <c r="C7" i="20"/>
  <c r="B7" i="20"/>
  <c r="A19" i="5"/>
  <c r="B20" i="5"/>
  <c r="C20" i="5"/>
  <c r="AR32" i="5"/>
  <c r="AP32" i="5"/>
  <c r="AP28" i="5"/>
  <c r="V22" i="5"/>
  <c r="W22" i="5"/>
  <c r="W21" i="5"/>
  <c r="V21" i="5"/>
  <c r="B22" i="5"/>
  <c r="C22" i="5"/>
  <c r="B23" i="5"/>
  <c r="C23" i="5"/>
  <c r="B24" i="5"/>
  <c r="C24" i="5"/>
  <c r="B25" i="5"/>
  <c r="C25" i="5"/>
  <c r="B26" i="5"/>
  <c r="C26" i="5"/>
  <c r="B27" i="5"/>
  <c r="C27" i="5"/>
  <c r="B28" i="5"/>
  <c r="C28" i="5"/>
  <c r="B29" i="5"/>
  <c r="C29" i="5"/>
  <c r="B30" i="5"/>
  <c r="C30" i="5"/>
  <c r="B31" i="5"/>
  <c r="C31" i="5"/>
  <c r="B32" i="5"/>
  <c r="C32" i="5"/>
  <c r="B33" i="5"/>
  <c r="C33" i="5"/>
  <c r="B34" i="5"/>
  <c r="C34" i="5"/>
  <c r="B35" i="5"/>
  <c r="C35" i="5"/>
  <c r="B36" i="5"/>
  <c r="C36" i="5"/>
  <c r="B37" i="5"/>
  <c r="C37" i="5"/>
  <c r="B38" i="5"/>
  <c r="C38" i="5"/>
  <c r="B39" i="5"/>
  <c r="C39" i="5"/>
  <c r="B40" i="5"/>
  <c r="C40" i="5"/>
  <c r="B41" i="5"/>
  <c r="C41" i="5"/>
  <c r="B42" i="5"/>
  <c r="C42" i="5"/>
  <c r="B43" i="5"/>
  <c r="C43" i="5"/>
  <c r="B44" i="5"/>
  <c r="C44" i="5"/>
  <c r="B45" i="5"/>
  <c r="C45" i="5"/>
  <c r="B46" i="5"/>
  <c r="C46" i="5"/>
  <c r="B47" i="5"/>
  <c r="C47" i="5"/>
  <c r="B48" i="5"/>
  <c r="C48" i="5"/>
  <c r="B49" i="5"/>
  <c r="C49" i="5"/>
  <c r="B50" i="5"/>
  <c r="C50" i="5"/>
  <c r="B51" i="5"/>
  <c r="C51" i="5"/>
  <c r="B52" i="5"/>
  <c r="C52" i="5"/>
  <c r="B53" i="5"/>
  <c r="C53" i="5"/>
  <c r="B54" i="5"/>
  <c r="C54" i="5"/>
  <c r="B55" i="5"/>
  <c r="C55" i="5"/>
  <c r="B56" i="5"/>
  <c r="C56" i="5"/>
  <c r="B57" i="5"/>
  <c r="C57" i="5"/>
  <c r="B58" i="5"/>
  <c r="C58" i="5"/>
  <c r="B59" i="5"/>
  <c r="C59" i="5"/>
  <c r="B60" i="5"/>
  <c r="C60" i="5"/>
  <c r="B61" i="5"/>
  <c r="C61" i="5"/>
  <c r="B62" i="5"/>
  <c r="C62" i="5"/>
  <c r="B63" i="5"/>
  <c r="C63" i="5"/>
  <c r="B64" i="5"/>
  <c r="C64" i="5"/>
  <c r="B65" i="5"/>
  <c r="C65" i="5"/>
  <c r="B66" i="5"/>
  <c r="C66" i="5"/>
  <c r="B67" i="5"/>
  <c r="C67" i="5"/>
  <c r="B68" i="5"/>
  <c r="C68" i="5"/>
  <c r="B69" i="5"/>
  <c r="C69" i="5"/>
  <c r="B70" i="5"/>
  <c r="C70" i="5"/>
  <c r="B71" i="5"/>
  <c r="C71" i="5"/>
  <c r="B72" i="5"/>
  <c r="C72" i="5"/>
  <c r="B73" i="5"/>
  <c r="C73" i="5"/>
  <c r="B74" i="5"/>
  <c r="C74" i="5"/>
  <c r="B75" i="5"/>
  <c r="C75" i="5"/>
  <c r="B76" i="5"/>
  <c r="C76" i="5"/>
  <c r="B77" i="5"/>
  <c r="C77" i="5"/>
  <c r="B78" i="5"/>
  <c r="C78" i="5"/>
  <c r="B79" i="5"/>
  <c r="C79" i="5"/>
  <c r="B80" i="5"/>
  <c r="C80" i="5"/>
  <c r="B81" i="5"/>
  <c r="C81" i="5"/>
  <c r="B82" i="5"/>
  <c r="C82" i="5"/>
  <c r="B83" i="5"/>
  <c r="C83" i="5"/>
  <c r="B84" i="5"/>
  <c r="C84" i="5"/>
  <c r="B85" i="5"/>
  <c r="C85" i="5"/>
  <c r="B86" i="5"/>
  <c r="C86" i="5"/>
  <c r="B87" i="5"/>
  <c r="C87" i="5"/>
  <c r="B88" i="5"/>
  <c r="C88" i="5"/>
  <c r="B89" i="5"/>
  <c r="C89" i="5"/>
  <c r="B90" i="5"/>
  <c r="C90" i="5"/>
  <c r="B91" i="5"/>
  <c r="C91" i="5"/>
  <c r="B92" i="5"/>
  <c r="C92" i="5"/>
  <c r="B93" i="5"/>
  <c r="C93" i="5"/>
  <c r="B94" i="5"/>
  <c r="C94" i="5"/>
  <c r="B95" i="5"/>
  <c r="C95" i="5"/>
  <c r="B96" i="5"/>
  <c r="C96" i="5"/>
  <c r="B97" i="5"/>
  <c r="C97" i="5"/>
  <c r="B98" i="5"/>
  <c r="C98" i="5"/>
  <c r="B99" i="5"/>
  <c r="C99" i="5"/>
  <c r="B100" i="5"/>
  <c r="C100" i="5"/>
  <c r="B101" i="5"/>
  <c r="C101" i="5"/>
  <c r="B102" i="5"/>
  <c r="C102" i="5"/>
  <c r="B103" i="5"/>
  <c r="C103" i="5"/>
  <c r="B104" i="5"/>
  <c r="C104" i="5"/>
  <c r="B105" i="5"/>
  <c r="C105" i="5"/>
  <c r="B106" i="5"/>
  <c r="C106" i="5"/>
  <c r="B107" i="5"/>
  <c r="C107" i="5"/>
  <c r="B108" i="5"/>
  <c r="C108" i="5"/>
  <c r="B109" i="5"/>
  <c r="C109" i="5"/>
  <c r="B110" i="5"/>
  <c r="C110" i="5"/>
  <c r="B111" i="5"/>
  <c r="C111" i="5"/>
  <c r="B112" i="5"/>
  <c r="C112" i="5"/>
  <c r="B113" i="5"/>
  <c r="C113" i="5"/>
  <c r="B114" i="5"/>
  <c r="C114" i="5"/>
  <c r="B115" i="5"/>
  <c r="C115" i="5"/>
  <c r="B116" i="5"/>
  <c r="C116" i="5"/>
  <c r="B117" i="5"/>
  <c r="C117" i="5"/>
  <c r="B118" i="5"/>
  <c r="C118" i="5"/>
  <c r="B119" i="5"/>
  <c r="C119" i="5"/>
  <c r="B120" i="5"/>
  <c r="C120" i="5"/>
  <c r="B121" i="5"/>
  <c r="C121" i="5"/>
  <c r="B122" i="5"/>
  <c r="C122" i="5"/>
  <c r="B123" i="5"/>
  <c r="C123" i="5"/>
  <c r="B124" i="5"/>
  <c r="C124" i="5"/>
  <c r="B125" i="5"/>
  <c r="C125" i="5"/>
  <c r="B126" i="5"/>
  <c r="C126" i="5"/>
  <c r="B127" i="5"/>
  <c r="C127" i="5"/>
  <c r="B128" i="5"/>
  <c r="C128" i="5"/>
  <c r="B129" i="5"/>
  <c r="C129" i="5"/>
  <c r="B130" i="5"/>
  <c r="C130" i="5"/>
  <c r="B131" i="5"/>
  <c r="C131" i="5"/>
  <c r="B132" i="5"/>
  <c r="C132" i="5"/>
  <c r="B133" i="5"/>
  <c r="C133" i="5"/>
  <c r="B134" i="5"/>
  <c r="C134" i="5"/>
  <c r="B135" i="5"/>
  <c r="C135" i="5"/>
  <c r="B136" i="5"/>
  <c r="C136" i="5"/>
  <c r="B137" i="5"/>
  <c r="C137" i="5"/>
  <c r="B138" i="5"/>
  <c r="C138" i="5"/>
  <c r="B139" i="5"/>
  <c r="C139" i="5"/>
  <c r="B140" i="5"/>
  <c r="C140" i="5"/>
  <c r="B141" i="5"/>
  <c r="C141" i="5"/>
  <c r="B142" i="5"/>
  <c r="C142" i="5"/>
  <c r="B143" i="5"/>
  <c r="C143" i="5"/>
  <c r="B144" i="5"/>
  <c r="C144" i="5"/>
  <c r="B145" i="5"/>
  <c r="C145" i="5"/>
  <c r="B146" i="5"/>
  <c r="C146" i="5"/>
  <c r="B147" i="5"/>
  <c r="C147" i="5"/>
  <c r="B148" i="5"/>
  <c r="C148" i="5"/>
  <c r="B149" i="5"/>
  <c r="C149" i="5"/>
  <c r="B150" i="5"/>
  <c r="C150" i="5"/>
  <c r="B151" i="5"/>
  <c r="C151" i="5"/>
  <c r="B152" i="5"/>
  <c r="C152" i="5"/>
  <c r="B153" i="5"/>
  <c r="C153" i="5"/>
  <c r="B154" i="5"/>
  <c r="C154" i="5"/>
  <c r="B155" i="5"/>
  <c r="C155" i="5"/>
  <c r="B156" i="5"/>
  <c r="C156" i="5"/>
  <c r="B157" i="5"/>
  <c r="C157" i="5"/>
  <c r="B158" i="5"/>
  <c r="C158" i="5"/>
  <c r="B159" i="5"/>
  <c r="C159" i="5"/>
  <c r="B160" i="5"/>
  <c r="C160" i="5"/>
  <c r="B161" i="5"/>
  <c r="C161" i="5"/>
  <c r="B162" i="5"/>
  <c r="C162" i="5"/>
  <c r="B163" i="5"/>
  <c r="C163" i="5"/>
  <c r="B164" i="5"/>
  <c r="C164" i="5"/>
  <c r="B165" i="5"/>
  <c r="C165" i="5"/>
  <c r="B166" i="5"/>
  <c r="C166" i="5"/>
  <c r="B167" i="5"/>
  <c r="C167" i="5"/>
  <c r="B168" i="5"/>
  <c r="C168" i="5"/>
  <c r="B169" i="5"/>
  <c r="C169" i="5"/>
  <c r="B170" i="5"/>
  <c r="C170" i="5"/>
  <c r="B171" i="5"/>
  <c r="C171" i="5"/>
  <c r="B172" i="5"/>
  <c r="C172" i="5"/>
  <c r="B173" i="5"/>
  <c r="C173" i="5"/>
  <c r="B174" i="5"/>
  <c r="C174" i="5"/>
  <c r="B175" i="5"/>
  <c r="C175" i="5"/>
  <c r="B176" i="5"/>
  <c r="C176" i="5"/>
  <c r="B177" i="5"/>
  <c r="C177" i="5"/>
  <c r="B178" i="5"/>
  <c r="C178" i="5"/>
  <c r="B179" i="5"/>
  <c r="C179" i="5"/>
  <c r="B180" i="5"/>
  <c r="C180" i="5"/>
  <c r="B181" i="5"/>
  <c r="C181" i="5"/>
  <c r="B182" i="5"/>
  <c r="C182" i="5"/>
  <c r="B183" i="5"/>
  <c r="C183" i="5"/>
  <c r="B184" i="5"/>
  <c r="C184" i="5"/>
  <c r="B185" i="5"/>
  <c r="C185" i="5"/>
  <c r="B186" i="5"/>
  <c r="C186" i="5"/>
  <c r="B187" i="5"/>
  <c r="C187" i="5"/>
  <c r="B188" i="5"/>
  <c r="C188" i="5"/>
  <c r="B189" i="5"/>
  <c r="C189" i="5"/>
  <c r="B190" i="5"/>
  <c r="C190" i="5"/>
  <c r="B191" i="5"/>
  <c r="C191" i="5"/>
  <c r="B192" i="5"/>
  <c r="C192" i="5"/>
  <c r="B193" i="5"/>
  <c r="C193" i="5"/>
  <c r="B194" i="5"/>
  <c r="C194" i="5"/>
  <c r="B195" i="5"/>
  <c r="C195" i="5"/>
  <c r="B196" i="5"/>
  <c r="C196" i="5"/>
  <c r="B197" i="5"/>
  <c r="C197" i="5"/>
  <c r="B198" i="5"/>
  <c r="C198" i="5"/>
  <c r="B199" i="5"/>
  <c r="C199" i="5"/>
  <c r="B200" i="5"/>
  <c r="C200" i="5"/>
  <c r="B201" i="5"/>
  <c r="C201" i="5"/>
  <c r="B202" i="5"/>
  <c r="C202" i="5"/>
  <c r="B203" i="5"/>
  <c r="C203" i="5"/>
  <c r="B204" i="5"/>
  <c r="C204" i="5"/>
  <c r="B205" i="5"/>
  <c r="C205" i="5"/>
  <c r="B206" i="5"/>
  <c r="C206" i="5"/>
  <c r="B207" i="5"/>
  <c r="C207" i="5"/>
  <c r="B208" i="5"/>
  <c r="C208" i="5"/>
  <c r="B209" i="5"/>
  <c r="C209" i="5"/>
  <c r="B210" i="5"/>
  <c r="C210" i="5"/>
  <c r="C21" i="5"/>
  <c r="B21" i="5"/>
  <c r="R22" i="5"/>
  <c r="S22" i="5"/>
  <c r="T22" i="5"/>
  <c r="U22" i="5"/>
  <c r="R23" i="5"/>
  <c r="S23" i="5"/>
  <c r="T23" i="5"/>
  <c r="U23" i="5"/>
  <c r="R24" i="5"/>
  <c r="S24" i="5"/>
  <c r="T24" i="5"/>
  <c r="U24" i="5"/>
  <c r="R25" i="5"/>
  <c r="S25" i="5"/>
  <c r="T25" i="5"/>
  <c r="U25" i="5"/>
  <c r="R26" i="5"/>
  <c r="S26" i="5"/>
  <c r="T26" i="5"/>
  <c r="U26" i="5"/>
  <c r="R27" i="5"/>
  <c r="S27" i="5"/>
  <c r="T27" i="5"/>
  <c r="U27" i="5"/>
  <c r="R28" i="5"/>
  <c r="S28" i="5"/>
  <c r="T28" i="5"/>
  <c r="U28" i="5"/>
  <c r="R29" i="5"/>
  <c r="S29" i="5"/>
  <c r="T29" i="5"/>
  <c r="U29" i="5"/>
  <c r="R30" i="5"/>
  <c r="S30" i="5"/>
  <c r="T30" i="5"/>
  <c r="U30" i="5"/>
  <c r="R31" i="5"/>
  <c r="S31" i="5"/>
  <c r="T31" i="5"/>
  <c r="U31" i="5"/>
  <c r="R32" i="5"/>
  <c r="S32" i="5"/>
  <c r="T32" i="5"/>
  <c r="R33" i="5"/>
  <c r="S33" i="5"/>
  <c r="T33" i="5"/>
  <c r="U33" i="5"/>
  <c r="R34" i="5"/>
  <c r="S34" i="5"/>
  <c r="T34" i="5"/>
  <c r="U34" i="5"/>
  <c r="R35" i="5"/>
  <c r="S35" i="5"/>
  <c r="T35" i="5"/>
  <c r="U35" i="5"/>
  <c r="R36" i="5"/>
  <c r="S36" i="5"/>
  <c r="T36" i="5"/>
  <c r="U36" i="5"/>
  <c r="R37" i="5"/>
  <c r="S37" i="5"/>
  <c r="T37" i="5"/>
  <c r="U37" i="5"/>
  <c r="R38" i="5"/>
  <c r="S38" i="5"/>
  <c r="T38" i="5"/>
  <c r="U38" i="5"/>
  <c r="R39" i="5"/>
  <c r="S39" i="5"/>
  <c r="T39" i="5"/>
  <c r="U39" i="5"/>
  <c r="R40" i="5"/>
  <c r="S40" i="5"/>
  <c r="T40" i="5"/>
  <c r="U40" i="5"/>
  <c r="R41" i="5"/>
  <c r="S41" i="5"/>
  <c r="T41" i="5"/>
  <c r="U41" i="5"/>
  <c r="R42" i="5"/>
  <c r="S42" i="5"/>
  <c r="T42" i="5"/>
  <c r="U42" i="5"/>
  <c r="R43" i="5"/>
  <c r="S43" i="5"/>
  <c r="T43" i="5"/>
  <c r="U43" i="5"/>
  <c r="R44" i="5"/>
  <c r="S44" i="5"/>
  <c r="T44" i="5"/>
  <c r="U44" i="5"/>
  <c r="R45" i="5"/>
  <c r="S45" i="5"/>
  <c r="T45" i="5"/>
  <c r="U45" i="5"/>
  <c r="R46" i="5"/>
  <c r="S46" i="5"/>
  <c r="T46" i="5"/>
  <c r="U46" i="5"/>
  <c r="R47" i="5"/>
  <c r="S47" i="5"/>
  <c r="T47" i="5"/>
  <c r="U47" i="5"/>
  <c r="R48" i="5"/>
  <c r="S48" i="5"/>
  <c r="T48" i="5"/>
  <c r="U48" i="5"/>
  <c r="R49" i="5"/>
  <c r="S49" i="5"/>
  <c r="T49" i="5"/>
  <c r="U49" i="5"/>
  <c r="R50" i="5"/>
  <c r="S50" i="5"/>
  <c r="T50" i="5"/>
  <c r="U50" i="5"/>
  <c r="R51" i="5"/>
  <c r="S51" i="5"/>
  <c r="T51" i="5"/>
  <c r="U51" i="5"/>
  <c r="R52" i="5"/>
  <c r="S52" i="5"/>
  <c r="T52" i="5"/>
  <c r="U52" i="5"/>
  <c r="R53" i="5"/>
  <c r="S53" i="5"/>
  <c r="T53" i="5"/>
  <c r="U53" i="5"/>
  <c r="R54" i="5"/>
  <c r="S54" i="5"/>
  <c r="T54" i="5"/>
  <c r="U54" i="5"/>
  <c r="R55" i="5"/>
  <c r="S55" i="5"/>
  <c r="T55" i="5"/>
  <c r="U55" i="5"/>
  <c r="R56" i="5"/>
  <c r="S56" i="5"/>
  <c r="T56" i="5"/>
  <c r="U56" i="5"/>
  <c r="R57" i="5"/>
  <c r="S57" i="5"/>
  <c r="T57" i="5"/>
  <c r="U57" i="5"/>
  <c r="R58" i="5"/>
  <c r="S58" i="5"/>
  <c r="T58" i="5"/>
  <c r="U58" i="5"/>
  <c r="R59" i="5"/>
  <c r="S59" i="5"/>
  <c r="T59" i="5"/>
  <c r="U59" i="5"/>
  <c r="R60" i="5"/>
  <c r="S60" i="5"/>
  <c r="T60" i="5"/>
  <c r="U60" i="5"/>
  <c r="R61" i="5"/>
  <c r="S61" i="5"/>
  <c r="T61" i="5"/>
  <c r="U61" i="5"/>
  <c r="R62" i="5"/>
  <c r="S62" i="5"/>
  <c r="T62" i="5"/>
  <c r="U62" i="5"/>
  <c r="R63" i="5"/>
  <c r="S63" i="5"/>
  <c r="T63" i="5"/>
  <c r="U63" i="5"/>
  <c r="R64" i="5"/>
  <c r="S64" i="5"/>
  <c r="T64" i="5"/>
  <c r="U64" i="5"/>
  <c r="R65" i="5"/>
  <c r="S65" i="5"/>
  <c r="T65" i="5"/>
  <c r="U65" i="5"/>
  <c r="R66" i="5"/>
  <c r="S66" i="5"/>
  <c r="T66" i="5"/>
  <c r="U66" i="5"/>
  <c r="R67" i="5"/>
  <c r="S67" i="5"/>
  <c r="T67" i="5"/>
  <c r="U67" i="5"/>
  <c r="R68" i="5"/>
  <c r="S68" i="5"/>
  <c r="T68" i="5"/>
  <c r="U68" i="5"/>
  <c r="R69" i="5"/>
  <c r="S69" i="5"/>
  <c r="T69" i="5"/>
  <c r="U69" i="5"/>
  <c r="R70" i="5"/>
  <c r="S70" i="5"/>
  <c r="T70" i="5"/>
  <c r="U70" i="5"/>
  <c r="R71" i="5"/>
  <c r="S71" i="5"/>
  <c r="T71" i="5"/>
  <c r="U71" i="5"/>
  <c r="R72" i="5"/>
  <c r="S72" i="5"/>
  <c r="T72" i="5"/>
  <c r="U72" i="5"/>
  <c r="R73" i="5"/>
  <c r="S73" i="5"/>
  <c r="T73" i="5"/>
  <c r="U73" i="5"/>
  <c r="R74" i="5"/>
  <c r="S74" i="5"/>
  <c r="T74" i="5"/>
  <c r="U74" i="5"/>
  <c r="R75" i="5"/>
  <c r="S75" i="5"/>
  <c r="T75" i="5"/>
  <c r="U75" i="5"/>
  <c r="R76" i="5"/>
  <c r="S76" i="5"/>
  <c r="T76" i="5"/>
  <c r="U76" i="5"/>
  <c r="R77" i="5"/>
  <c r="S77" i="5"/>
  <c r="T77" i="5"/>
  <c r="U77" i="5"/>
  <c r="R78" i="5"/>
  <c r="S78" i="5"/>
  <c r="T78" i="5"/>
  <c r="U78" i="5"/>
  <c r="R79" i="5"/>
  <c r="S79" i="5"/>
  <c r="T79" i="5"/>
  <c r="U79" i="5"/>
  <c r="R80" i="5"/>
  <c r="S80" i="5"/>
  <c r="T80" i="5"/>
  <c r="U80" i="5"/>
  <c r="R81" i="5"/>
  <c r="S81" i="5"/>
  <c r="T81" i="5"/>
  <c r="U81" i="5"/>
  <c r="R82" i="5"/>
  <c r="S82" i="5"/>
  <c r="T82" i="5"/>
  <c r="U82" i="5"/>
  <c r="R83" i="5"/>
  <c r="S83" i="5"/>
  <c r="T83" i="5"/>
  <c r="U83" i="5"/>
  <c r="R84" i="5"/>
  <c r="S84" i="5"/>
  <c r="T84" i="5"/>
  <c r="U84" i="5"/>
  <c r="R85" i="5"/>
  <c r="S85" i="5"/>
  <c r="T85" i="5"/>
  <c r="U85" i="5"/>
  <c r="R86" i="5"/>
  <c r="S86" i="5"/>
  <c r="T86" i="5"/>
  <c r="U86" i="5"/>
  <c r="R87" i="5"/>
  <c r="S87" i="5"/>
  <c r="T87" i="5"/>
  <c r="U87" i="5"/>
  <c r="R88" i="5"/>
  <c r="S88" i="5"/>
  <c r="T88" i="5"/>
  <c r="U88" i="5"/>
  <c r="R89" i="5"/>
  <c r="S89" i="5"/>
  <c r="T89" i="5"/>
  <c r="U89" i="5"/>
  <c r="R90" i="5"/>
  <c r="S90" i="5"/>
  <c r="T90" i="5"/>
  <c r="U90" i="5"/>
  <c r="R91" i="5"/>
  <c r="S91" i="5"/>
  <c r="T91" i="5"/>
  <c r="U91" i="5"/>
  <c r="R92" i="5"/>
  <c r="S92" i="5"/>
  <c r="T92" i="5"/>
  <c r="U92" i="5"/>
  <c r="R93" i="5"/>
  <c r="S93" i="5"/>
  <c r="T93" i="5"/>
  <c r="U93" i="5"/>
  <c r="R94" i="5"/>
  <c r="S94" i="5"/>
  <c r="T94" i="5"/>
  <c r="U94" i="5"/>
  <c r="R95" i="5"/>
  <c r="S95" i="5"/>
  <c r="T95" i="5"/>
  <c r="U95" i="5"/>
  <c r="R96" i="5"/>
  <c r="S96" i="5"/>
  <c r="T96" i="5"/>
  <c r="U96" i="5"/>
  <c r="R97" i="5"/>
  <c r="S97" i="5"/>
  <c r="T97" i="5"/>
  <c r="U97" i="5"/>
  <c r="R98" i="5"/>
  <c r="S98" i="5"/>
  <c r="T98" i="5"/>
  <c r="U98" i="5"/>
  <c r="R99" i="5"/>
  <c r="S99" i="5"/>
  <c r="T99" i="5"/>
  <c r="U99" i="5"/>
  <c r="R100" i="5"/>
  <c r="S100" i="5"/>
  <c r="T100" i="5"/>
  <c r="U100" i="5"/>
  <c r="R101" i="5"/>
  <c r="S101" i="5"/>
  <c r="T101" i="5"/>
  <c r="U101" i="5"/>
  <c r="R102" i="5"/>
  <c r="S102" i="5"/>
  <c r="T102" i="5"/>
  <c r="U102" i="5"/>
  <c r="R103" i="5"/>
  <c r="S103" i="5"/>
  <c r="T103" i="5"/>
  <c r="U103" i="5"/>
  <c r="R104" i="5"/>
  <c r="S104" i="5"/>
  <c r="T104" i="5"/>
  <c r="U104" i="5"/>
  <c r="R105" i="5"/>
  <c r="S105" i="5"/>
  <c r="T105" i="5"/>
  <c r="U105" i="5"/>
  <c r="R106" i="5"/>
  <c r="S106" i="5"/>
  <c r="T106" i="5"/>
  <c r="U106" i="5"/>
  <c r="R107" i="5"/>
  <c r="S107" i="5"/>
  <c r="T107" i="5"/>
  <c r="U107" i="5"/>
  <c r="R108" i="5"/>
  <c r="S108" i="5"/>
  <c r="T108" i="5"/>
  <c r="U108" i="5"/>
  <c r="R109" i="5"/>
  <c r="S109" i="5"/>
  <c r="T109" i="5"/>
  <c r="U109" i="5"/>
  <c r="R110" i="5"/>
  <c r="S110" i="5"/>
  <c r="T110" i="5"/>
  <c r="U110" i="5"/>
  <c r="R111" i="5"/>
  <c r="S111" i="5"/>
  <c r="T111" i="5"/>
  <c r="U111" i="5"/>
  <c r="R112" i="5"/>
  <c r="S112" i="5"/>
  <c r="T112" i="5"/>
  <c r="U112" i="5"/>
  <c r="R113" i="5"/>
  <c r="S113" i="5"/>
  <c r="T113" i="5"/>
  <c r="U113" i="5"/>
  <c r="R114" i="5"/>
  <c r="S114" i="5"/>
  <c r="T114" i="5"/>
  <c r="U114" i="5"/>
  <c r="R115" i="5"/>
  <c r="S115" i="5"/>
  <c r="T115" i="5"/>
  <c r="U115" i="5"/>
  <c r="R116" i="5"/>
  <c r="S116" i="5"/>
  <c r="T116" i="5"/>
  <c r="U116" i="5"/>
  <c r="R117" i="5"/>
  <c r="S117" i="5"/>
  <c r="T117" i="5"/>
  <c r="U117" i="5"/>
  <c r="R118" i="5"/>
  <c r="S118" i="5"/>
  <c r="T118" i="5"/>
  <c r="U118" i="5"/>
  <c r="R119" i="5"/>
  <c r="S119" i="5"/>
  <c r="T119" i="5"/>
  <c r="U119" i="5"/>
  <c r="R120" i="5"/>
  <c r="S120" i="5"/>
  <c r="T120" i="5"/>
  <c r="U120" i="5"/>
  <c r="R121" i="5"/>
  <c r="S121" i="5"/>
  <c r="T121" i="5"/>
  <c r="U121" i="5"/>
  <c r="R122" i="5"/>
  <c r="S122" i="5"/>
  <c r="T122" i="5"/>
  <c r="U122" i="5"/>
  <c r="R123" i="5"/>
  <c r="S123" i="5"/>
  <c r="T123" i="5"/>
  <c r="U123" i="5"/>
  <c r="R124" i="5"/>
  <c r="S124" i="5"/>
  <c r="T124" i="5"/>
  <c r="U124" i="5"/>
  <c r="R125" i="5"/>
  <c r="S125" i="5"/>
  <c r="T125" i="5"/>
  <c r="U125" i="5"/>
  <c r="R126" i="5"/>
  <c r="S126" i="5"/>
  <c r="T126" i="5"/>
  <c r="U126" i="5"/>
  <c r="R127" i="5"/>
  <c r="S127" i="5"/>
  <c r="T127" i="5"/>
  <c r="U127" i="5"/>
  <c r="R128" i="5"/>
  <c r="S128" i="5"/>
  <c r="T128" i="5"/>
  <c r="U128" i="5"/>
  <c r="R129" i="5"/>
  <c r="S129" i="5"/>
  <c r="T129" i="5"/>
  <c r="U129" i="5"/>
  <c r="R130" i="5"/>
  <c r="S130" i="5"/>
  <c r="T130" i="5"/>
  <c r="U130" i="5"/>
  <c r="R131" i="5"/>
  <c r="S131" i="5"/>
  <c r="T131" i="5"/>
  <c r="U131" i="5"/>
  <c r="R132" i="5"/>
  <c r="S132" i="5"/>
  <c r="T132" i="5"/>
  <c r="U132" i="5"/>
  <c r="R133" i="5"/>
  <c r="S133" i="5"/>
  <c r="T133" i="5"/>
  <c r="U133" i="5"/>
  <c r="R134" i="5"/>
  <c r="S134" i="5"/>
  <c r="T134" i="5"/>
  <c r="U134" i="5"/>
  <c r="R135" i="5"/>
  <c r="S135" i="5"/>
  <c r="T135" i="5"/>
  <c r="U135" i="5"/>
  <c r="R136" i="5"/>
  <c r="S136" i="5"/>
  <c r="T136" i="5"/>
  <c r="U136" i="5"/>
  <c r="R137" i="5"/>
  <c r="S137" i="5"/>
  <c r="T137" i="5"/>
  <c r="U137" i="5"/>
  <c r="R138" i="5"/>
  <c r="S138" i="5"/>
  <c r="T138" i="5"/>
  <c r="U138" i="5"/>
  <c r="R139" i="5"/>
  <c r="S139" i="5"/>
  <c r="T139" i="5"/>
  <c r="U139" i="5"/>
  <c r="R140" i="5"/>
  <c r="S140" i="5"/>
  <c r="T140" i="5"/>
  <c r="U140" i="5"/>
  <c r="R141" i="5"/>
  <c r="S141" i="5"/>
  <c r="T141" i="5"/>
  <c r="U141" i="5"/>
  <c r="R142" i="5"/>
  <c r="S142" i="5"/>
  <c r="T142" i="5"/>
  <c r="U142" i="5"/>
  <c r="R143" i="5"/>
  <c r="S143" i="5"/>
  <c r="T143" i="5"/>
  <c r="U143" i="5"/>
  <c r="R144" i="5"/>
  <c r="S144" i="5"/>
  <c r="T144" i="5"/>
  <c r="U144" i="5"/>
  <c r="R145" i="5"/>
  <c r="S145" i="5"/>
  <c r="T145" i="5"/>
  <c r="U145" i="5"/>
  <c r="R146" i="5"/>
  <c r="S146" i="5"/>
  <c r="T146" i="5"/>
  <c r="U146" i="5"/>
  <c r="R147" i="5"/>
  <c r="S147" i="5"/>
  <c r="T147" i="5"/>
  <c r="U147" i="5"/>
  <c r="R148" i="5"/>
  <c r="S148" i="5"/>
  <c r="T148" i="5"/>
  <c r="U148" i="5"/>
  <c r="R149" i="5"/>
  <c r="S149" i="5"/>
  <c r="T149" i="5"/>
  <c r="U149" i="5"/>
  <c r="R150" i="5"/>
  <c r="S150" i="5"/>
  <c r="T150" i="5"/>
  <c r="U150" i="5"/>
  <c r="R151" i="5"/>
  <c r="S151" i="5"/>
  <c r="T151" i="5"/>
  <c r="U151" i="5"/>
  <c r="R152" i="5"/>
  <c r="S152" i="5"/>
  <c r="T152" i="5"/>
  <c r="U152" i="5"/>
  <c r="R153" i="5"/>
  <c r="S153" i="5"/>
  <c r="T153" i="5"/>
  <c r="U153" i="5"/>
  <c r="R154" i="5"/>
  <c r="S154" i="5"/>
  <c r="T154" i="5"/>
  <c r="U154" i="5"/>
  <c r="R155" i="5"/>
  <c r="S155" i="5"/>
  <c r="T155" i="5"/>
  <c r="U155" i="5"/>
  <c r="R156" i="5"/>
  <c r="S156" i="5"/>
  <c r="T156" i="5"/>
  <c r="U156" i="5"/>
  <c r="R157" i="5"/>
  <c r="S157" i="5"/>
  <c r="T157" i="5"/>
  <c r="U157" i="5"/>
  <c r="R158" i="5"/>
  <c r="S158" i="5"/>
  <c r="T158" i="5"/>
  <c r="U158" i="5"/>
  <c r="R159" i="5"/>
  <c r="S159" i="5"/>
  <c r="T159" i="5"/>
  <c r="U159" i="5"/>
  <c r="R160" i="5"/>
  <c r="S160" i="5"/>
  <c r="T160" i="5"/>
  <c r="U160" i="5"/>
  <c r="R161" i="5"/>
  <c r="S161" i="5"/>
  <c r="T161" i="5"/>
  <c r="U161" i="5"/>
  <c r="R162" i="5"/>
  <c r="S162" i="5"/>
  <c r="T162" i="5"/>
  <c r="U162" i="5"/>
  <c r="R163" i="5"/>
  <c r="S163" i="5"/>
  <c r="T163" i="5"/>
  <c r="U163" i="5"/>
  <c r="R164" i="5"/>
  <c r="S164" i="5"/>
  <c r="T164" i="5"/>
  <c r="U164" i="5"/>
  <c r="R165" i="5"/>
  <c r="S165" i="5"/>
  <c r="T165" i="5"/>
  <c r="U165" i="5"/>
  <c r="R166" i="5"/>
  <c r="S166" i="5"/>
  <c r="T166" i="5"/>
  <c r="U166" i="5"/>
  <c r="R167" i="5"/>
  <c r="S167" i="5"/>
  <c r="T167" i="5"/>
  <c r="U167" i="5"/>
  <c r="R168" i="5"/>
  <c r="S168" i="5"/>
  <c r="T168" i="5"/>
  <c r="U168" i="5"/>
  <c r="R169" i="5"/>
  <c r="S169" i="5"/>
  <c r="T169" i="5"/>
  <c r="U169" i="5"/>
  <c r="R170" i="5"/>
  <c r="S170" i="5"/>
  <c r="T170" i="5"/>
  <c r="U170" i="5"/>
  <c r="R171" i="5"/>
  <c r="S171" i="5"/>
  <c r="T171" i="5"/>
  <c r="U171" i="5"/>
  <c r="R172" i="5"/>
  <c r="S172" i="5"/>
  <c r="T172" i="5"/>
  <c r="U172" i="5"/>
  <c r="R173" i="5"/>
  <c r="S173" i="5"/>
  <c r="T173" i="5"/>
  <c r="U173" i="5"/>
  <c r="R174" i="5"/>
  <c r="S174" i="5"/>
  <c r="T174" i="5"/>
  <c r="U174" i="5"/>
  <c r="R175" i="5"/>
  <c r="S175" i="5"/>
  <c r="T175" i="5"/>
  <c r="U175" i="5"/>
  <c r="R176" i="5"/>
  <c r="S176" i="5"/>
  <c r="T176" i="5"/>
  <c r="U176" i="5"/>
  <c r="R177" i="5"/>
  <c r="S177" i="5"/>
  <c r="T177" i="5"/>
  <c r="U177" i="5"/>
  <c r="R178" i="5"/>
  <c r="S178" i="5"/>
  <c r="T178" i="5"/>
  <c r="U178" i="5"/>
  <c r="R179" i="5"/>
  <c r="S179" i="5"/>
  <c r="T179" i="5"/>
  <c r="U179" i="5"/>
  <c r="R180" i="5"/>
  <c r="S180" i="5"/>
  <c r="T180" i="5"/>
  <c r="U180" i="5"/>
  <c r="R181" i="5"/>
  <c r="S181" i="5"/>
  <c r="T181" i="5"/>
  <c r="U181" i="5"/>
  <c r="R182" i="5"/>
  <c r="S182" i="5"/>
  <c r="T182" i="5"/>
  <c r="U182" i="5"/>
  <c r="R183" i="5"/>
  <c r="S183" i="5"/>
  <c r="T183" i="5"/>
  <c r="U183" i="5"/>
  <c r="R184" i="5"/>
  <c r="S184" i="5"/>
  <c r="T184" i="5"/>
  <c r="U184" i="5"/>
  <c r="R185" i="5"/>
  <c r="S185" i="5"/>
  <c r="T185" i="5"/>
  <c r="U185" i="5"/>
  <c r="R186" i="5"/>
  <c r="S186" i="5"/>
  <c r="T186" i="5"/>
  <c r="U186" i="5"/>
  <c r="R187" i="5"/>
  <c r="S187" i="5"/>
  <c r="T187" i="5"/>
  <c r="U187" i="5"/>
  <c r="R188" i="5"/>
  <c r="S188" i="5"/>
  <c r="T188" i="5"/>
  <c r="U188" i="5"/>
  <c r="R189" i="5"/>
  <c r="S189" i="5"/>
  <c r="T189" i="5"/>
  <c r="U189" i="5"/>
  <c r="R190" i="5"/>
  <c r="S190" i="5"/>
  <c r="T190" i="5"/>
  <c r="U190" i="5"/>
  <c r="R191" i="5"/>
  <c r="S191" i="5"/>
  <c r="T191" i="5"/>
  <c r="U191" i="5"/>
  <c r="R192" i="5"/>
  <c r="S192" i="5"/>
  <c r="T192" i="5"/>
  <c r="U192" i="5"/>
  <c r="R193" i="5"/>
  <c r="S193" i="5"/>
  <c r="T193" i="5"/>
  <c r="U193" i="5"/>
  <c r="R194" i="5"/>
  <c r="S194" i="5"/>
  <c r="T194" i="5"/>
  <c r="U194" i="5"/>
  <c r="R195" i="5"/>
  <c r="S195" i="5"/>
  <c r="T195" i="5"/>
  <c r="U195" i="5"/>
  <c r="R196" i="5"/>
  <c r="S196" i="5"/>
  <c r="T196" i="5"/>
  <c r="U196" i="5"/>
  <c r="R197" i="5"/>
  <c r="S197" i="5"/>
  <c r="T197" i="5"/>
  <c r="U197" i="5"/>
  <c r="R198" i="5"/>
  <c r="S198" i="5"/>
  <c r="T198" i="5"/>
  <c r="U198" i="5"/>
  <c r="R199" i="5"/>
  <c r="S199" i="5"/>
  <c r="T199" i="5"/>
  <c r="U199" i="5"/>
  <c r="R200" i="5"/>
  <c r="S200" i="5"/>
  <c r="T200" i="5"/>
  <c r="U200" i="5"/>
  <c r="R201" i="5"/>
  <c r="S201" i="5"/>
  <c r="T201" i="5"/>
  <c r="U201" i="5"/>
  <c r="R202" i="5"/>
  <c r="S202" i="5"/>
  <c r="T202" i="5"/>
  <c r="U202" i="5"/>
  <c r="R203" i="5"/>
  <c r="S203" i="5"/>
  <c r="T203" i="5"/>
  <c r="U203" i="5"/>
  <c r="R204" i="5"/>
  <c r="S204" i="5"/>
  <c r="T204" i="5"/>
  <c r="U204" i="5"/>
  <c r="R205" i="5"/>
  <c r="S205" i="5"/>
  <c r="T205" i="5"/>
  <c r="U205" i="5"/>
  <c r="R206" i="5"/>
  <c r="S206" i="5"/>
  <c r="T206" i="5"/>
  <c r="U206" i="5"/>
  <c r="R207" i="5"/>
  <c r="S207" i="5"/>
  <c r="T207" i="5"/>
  <c r="U207" i="5"/>
  <c r="R208" i="5"/>
  <c r="S208" i="5"/>
  <c r="T208" i="5"/>
  <c r="U208" i="5"/>
  <c r="R209" i="5"/>
  <c r="S209" i="5"/>
  <c r="T209" i="5"/>
  <c r="U209" i="5"/>
  <c r="R210" i="5"/>
  <c r="S210" i="5"/>
  <c r="T210" i="5"/>
  <c r="U210" i="5"/>
  <c r="R21" i="5"/>
  <c r="S21" i="5"/>
  <c r="T21" i="5"/>
  <c r="U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AI31" i="20" l="1"/>
  <c r="AI36" i="20"/>
  <c r="E18" i="20"/>
  <c r="AJ30" i="20"/>
  <c r="AJ31" i="20" s="1"/>
  <c r="O19" i="20"/>
  <c r="AQ33" i="5"/>
  <c r="AQ28" i="5"/>
  <c r="AC17" i="5"/>
  <c r="V18" i="5"/>
  <c r="AS31" i="5"/>
  <c r="AL34" i="20"/>
  <c r="B19" i="20"/>
  <c r="C19" i="20"/>
  <c r="D210" i="5"/>
  <c r="A18" i="5"/>
  <c r="B19" i="5"/>
  <c r="C19" i="5"/>
  <c r="E192" i="5"/>
  <c r="E162" i="5"/>
  <c r="D132" i="5"/>
  <c r="E112" i="5"/>
  <c r="D92" i="5"/>
  <c r="E72" i="5"/>
  <c r="D52" i="5"/>
  <c r="D191" i="5"/>
  <c r="E171" i="5"/>
  <c r="D151" i="5"/>
  <c r="E131" i="5"/>
  <c r="E111" i="5"/>
  <c r="E91" i="5"/>
  <c r="E51" i="5"/>
  <c r="D31" i="5"/>
  <c r="D107" i="5"/>
  <c r="D65" i="5"/>
  <c r="E202" i="5"/>
  <c r="E82" i="5"/>
  <c r="E71" i="5"/>
  <c r="E30" i="5"/>
  <c r="E40" i="5"/>
  <c r="E200" i="5"/>
  <c r="E50" i="5"/>
  <c r="D91" i="5"/>
  <c r="D90" i="5"/>
  <c r="E29" i="5"/>
  <c r="E160" i="5"/>
  <c r="D70" i="5"/>
  <c r="AJ18" i="5" s="1"/>
  <c r="D131" i="5"/>
  <c r="D208" i="5"/>
  <c r="D198" i="5"/>
  <c r="E188" i="5"/>
  <c r="D178" i="5"/>
  <c r="D168" i="5"/>
  <c r="D158" i="5"/>
  <c r="E148" i="5"/>
  <c r="D138" i="5"/>
  <c r="D128" i="5"/>
  <c r="D118" i="5"/>
  <c r="E108" i="5"/>
  <c r="D98" i="5"/>
  <c r="D78" i="5"/>
  <c r="D68" i="5"/>
  <c r="D58" i="5"/>
  <c r="D38" i="5"/>
  <c r="D28" i="5"/>
  <c r="E191" i="5"/>
  <c r="E206" i="5"/>
  <c r="E155" i="5"/>
  <c r="D145" i="5"/>
  <c r="D190" i="5"/>
  <c r="D170" i="5"/>
  <c r="E140" i="5"/>
  <c r="E80" i="5"/>
  <c r="E186" i="5"/>
  <c r="E180" i="5"/>
  <c r="E150" i="5"/>
  <c r="E130" i="5"/>
  <c r="E60" i="5"/>
  <c r="E196" i="5"/>
  <c r="E194" i="5"/>
  <c r="E154" i="5"/>
  <c r="E114" i="5"/>
  <c r="E74" i="5"/>
  <c r="E34" i="5"/>
  <c r="E100" i="5"/>
  <c r="E120" i="5"/>
  <c r="E203" i="5"/>
  <c r="E193" i="5"/>
  <c r="E163" i="5"/>
  <c r="D110" i="5"/>
  <c r="E73" i="5"/>
  <c r="E33" i="5"/>
  <c r="E176" i="5"/>
  <c r="E166" i="5"/>
  <c r="E156" i="5"/>
  <c r="E146" i="5"/>
  <c r="E136" i="5"/>
  <c r="E126" i="5"/>
  <c r="E116" i="5"/>
  <c r="E106" i="5"/>
  <c r="E96" i="5"/>
  <c r="E86" i="5"/>
  <c r="E76" i="5"/>
  <c r="E66" i="5"/>
  <c r="E56" i="5"/>
  <c r="E46" i="5"/>
  <c r="E36" i="5"/>
  <c r="E26" i="5"/>
  <c r="D156" i="5"/>
  <c r="E195" i="5"/>
  <c r="D105" i="5"/>
  <c r="E75" i="5"/>
  <c r="D108" i="5"/>
  <c r="E123" i="5"/>
  <c r="E113" i="5"/>
  <c r="E83" i="5"/>
  <c r="E153" i="5"/>
  <c r="E28" i="5"/>
  <c r="D192" i="5"/>
  <c r="E172" i="5"/>
  <c r="D152" i="5"/>
  <c r="E132" i="5"/>
  <c r="E122" i="5"/>
  <c r="D112" i="5"/>
  <c r="E92" i="5"/>
  <c r="D72" i="5"/>
  <c r="E52" i="5"/>
  <c r="E32" i="5"/>
  <c r="D32" i="5"/>
  <c r="D147" i="5"/>
  <c r="D171" i="5"/>
  <c r="E151" i="5"/>
  <c r="D111" i="5"/>
  <c r="D71" i="5"/>
  <c r="E31" i="5"/>
  <c r="E210" i="5"/>
  <c r="E209" i="5"/>
  <c r="E199" i="5"/>
  <c r="D189" i="5"/>
  <c r="E179" i="5"/>
  <c r="E169" i="5"/>
  <c r="E159" i="5"/>
  <c r="D149" i="5"/>
  <c r="E139" i="5"/>
  <c r="E129" i="5"/>
  <c r="E119" i="5"/>
  <c r="E109" i="5"/>
  <c r="E99" i="5"/>
  <c r="E89" i="5"/>
  <c r="E79" i="5"/>
  <c r="E69" i="5"/>
  <c r="E59" i="5"/>
  <c r="E49" i="5"/>
  <c r="E39" i="5"/>
  <c r="D148" i="5"/>
  <c r="D106" i="5"/>
  <c r="D59" i="5"/>
  <c r="E110" i="5"/>
  <c r="D150" i="5"/>
  <c r="E208" i="5"/>
  <c r="E198" i="5"/>
  <c r="D188" i="5"/>
  <c r="E178" i="5"/>
  <c r="E168" i="5"/>
  <c r="E158" i="5"/>
  <c r="E138" i="5"/>
  <c r="E128" i="5"/>
  <c r="E118" i="5"/>
  <c r="E98" i="5"/>
  <c r="E88" i="5"/>
  <c r="E78" i="5"/>
  <c r="E58" i="5"/>
  <c r="E48" i="5"/>
  <c r="E38" i="5"/>
  <c r="D56" i="5"/>
  <c r="D209" i="5"/>
  <c r="D146" i="5"/>
  <c r="D100" i="5"/>
  <c r="D50" i="5"/>
  <c r="E90" i="5"/>
  <c r="D99" i="5"/>
  <c r="D46" i="5"/>
  <c r="E147" i="5"/>
  <c r="E107" i="5"/>
  <c r="E67" i="5"/>
  <c r="D206" i="5"/>
  <c r="D140" i="5"/>
  <c r="D96" i="5"/>
  <c r="D40" i="5"/>
  <c r="E190" i="5"/>
  <c r="D200" i="5"/>
  <c r="D139" i="5"/>
  <c r="D39" i="5"/>
  <c r="D196" i="5"/>
  <c r="D136" i="5"/>
  <c r="D36" i="5"/>
  <c r="E170" i="5"/>
  <c r="D55" i="5"/>
  <c r="D155" i="5"/>
  <c r="D115" i="5"/>
  <c r="D75" i="5"/>
  <c r="D180" i="5"/>
  <c r="D130" i="5"/>
  <c r="D80" i="5"/>
  <c r="D30" i="5"/>
  <c r="E70" i="5"/>
  <c r="AK18" i="5" s="1"/>
  <c r="D60" i="5"/>
  <c r="E185" i="5"/>
  <c r="E145" i="5"/>
  <c r="E125" i="5"/>
  <c r="E105" i="5"/>
  <c r="D95" i="5"/>
  <c r="E85" i="5"/>
  <c r="E65" i="5"/>
  <c r="E45" i="5"/>
  <c r="D35" i="5"/>
  <c r="E25" i="5"/>
  <c r="D186" i="5"/>
  <c r="D86" i="5"/>
  <c r="D179" i="5"/>
  <c r="D129" i="5"/>
  <c r="D76" i="5"/>
  <c r="D29" i="5"/>
  <c r="E68" i="5"/>
  <c r="D176" i="5"/>
  <c r="E152" i="5"/>
  <c r="D195" i="5"/>
  <c r="D172" i="5"/>
  <c r="D126" i="5"/>
  <c r="D26" i="5"/>
  <c r="E35" i="5"/>
  <c r="D135" i="5"/>
  <c r="E182" i="5"/>
  <c r="E142" i="5"/>
  <c r="E102" i="5"/>
  <c r="D120" i="5"/>
  <c r="D25" i="5"/>
  <c r="AN31" i="5" s="1"/>
  <c r="D116" i="5"/>
  <c r="D69" i="5"/>
  <c r="AJ17" i="5" s="1"/>
  <c r="D166" i="5"/>
  <c r="D67" i="5"/>
  <c r="D160" i="5"/>
  <c r="D109" i="5"/>
  <c r="D66" i="5"/>
  <c r="E115" i="5"/>
  <c r="E207" i="5"/>
  <c r="D207" i="5"/>
  <c r="E197" i="5"/>
  <c r="D197" i="5"/>
  <c r="E187" i="5"/>
  <c r="D187" i="5"/>
  <c r="E177" i="5"/>
  <c r="D177" i="5"/>
  <c r="E167" i="5"/>
  <c r="D167" i="5"/>
  <c r="E157" i="5"/>
  <c r="D157" i="5"/>
  <c r="E137" i="5"/>
  <c r="D137" i="5"/>
  <c r="E127" i="5"/>
  <c r="D127" i="5"/>
  <c r="E117" i="5"/>
  <c r="D117" i="5"/>
  <c r="E97" i="5"/>
  <c r="D97" i="5"/>
  <c r="E87" i="5"/>
  <c r="D87" i="5"/>
  <c r="E77" i="5"/>
  <c r="D77" i="5"/>
  <c r="E57" i="5"/>
  <c r="D57" i="5"/>
  <c r="E47" i="5"/>
  <c r="D47" i="5"/>
  <c r="E37" i="5"/>
  <c r="L37" i="5" s="1"/>
  <c r="D37" i="5"/>
  <c r="E27" i="5"/>
  <c r="D27" i="5"/>
  <c r="E205" i="5"/>
  <c r="D205" i="5"/>
  <c r="D175" i="5"/>
  <c r="E175" i="5"/>
  <c r="E165" i="5"/>
  <c r="D165" i="5"/>
  <c r="D185" i="5"/>
  <c r="E183" i="5"/>
  <c r="E204" i="5"/>
  <c r="D204" i="5"/>
  <c r="D194" i="5"/>
  <c r="E184" i="5"/>
  <c r="D184" i="5"/>
  <c r="D174" i="5"/>
  <c r="E164" i="5"/>
  <c r="D164" i="5"/>
  <c r="D154" i="5"/>
  <c r="E144" i="5"/>
  <c r="D144" i="5"/>
  <c r="D134" i="5"/>
  <c r="E124" i="5"/>
  <c r="D124" i="5"/>
  <c r="D114" i="5"/>
  <c r="E104" i="5"/>
  <c r="D104" i="5"/>
  <c r="D94" i="5"/>
  <c r="E84" i="5"/>
  <c r="D84" i="5"/>
  <c r="D74" i="5"/>
  <c r="E64" i="5"/>
  <c r="D64" i="5"/>
  <c r="D54" i="5"/>
  <c r="E44" i="5"/>
  <c r="D44" i="5"/>
  <c r="D34" i="5"/>
  <c r="E24" i="5"/>
  <c r="D24" i="5"/>
  <c r="D169" i="5"/>
  <c r="E189" i="5"/>
  <c r="E149" i="5"/>
  <c r="D53" i="5"/>
  <c r="D63" i="5"/>
  <c r="D202" i="5"/>
  <c r="D182" i="5"/>
  <c r="D162" i="5"/>
  <c r="D142" i="5"/>
  <c r="D122" i="5"/>
  <c r="D82" i="5"/>
  <c r="E62" i="5"/>
  <c r="D62" i="5"/>
  <c r="E42" i="5"/>
  <c r="D42" i="5"/>
  <c r="D199" i="5"/>
  <c r="D89" i="5"/>
  <c r="D51" i="5"/>
  <c r="E135" i="5"/>
  <c r="E95" i="5"/>
  <c r="E54" i="5"/>
  <c r="D203" i="5"/>
  <c r="D103" i="5"/>
  <c r="D88" i="5"/>
  <c r="E174" i="5"/>
  <c r="E134" i="5"/>
  <c r="E94" i="5"/>
  <c r="E53" i="5"/>
  <c r="D93" i="5"/>
  <c r="D173" i="5"/>
  <c r="D133" i="5"/>
  <c r="D73" i="5"/>
  <c r="D102" i="5"/>
  <c r="E201" i="5"/>
  <c r="E181" i="5"/>
  <c r="E161" i="5"/>
  <c r="E141" i="5"/>
  <c r="E121" i="5"/>
  <c r="E101" i="5"/>
  <c r="E81" i="5"/>
  <c r="E61" i="5"/>
  <c r="E41" i="5"/>
  <c r="D159" i="5"/>
  <c r="K159" i="5" s="1"/>
  <c r="D125" i="5"/>
  <c r="D49" i="5"/>
  <c r="E173" i="5"/>
  <c r="E133" i="5"/>
  <c r="E93" i="5"/>
  <c r="D48" i="5"/>
  <c r="D153" i="5"/>
  <c r="E103" i="5"/>
  <c r="D119" i="5"/>
  <c r="D85" i="5"/>
  <c r="D183" i="5"/>
  <c r="D123" i="5"/>
  <c r="D33" i="5"/>
  <c r="E55" i="5"/>
  <c r="L55" i="5" s="1"/>
  <c r="D193" i="5"/>
  <c r="D163" i="5"/>
  <c r="D143" i="5"/>
  <c r="D113" i="5"/>
  <c r="D83" i="5"/>
  <c r="D43" i="5"/>
  <c r="E143" i="5"/>
  <c r="E63" i="5"/>
  <c r="D79" i="5"/>
  <c r="D45" i="5"/>
  <c r="E43" i="5"/>
  <c r="D201" i="5"/>
  <c r="D181" i="5"/>
  <c r="D161" i="5"/>
  <c r="D141" i="5"/>
  <c r="D121" i="5"/>
  <c r="D101" i="5"/>
  <c r="D81" i="5"/>
  <c r="D61" i="5"/>
  <c r="D41" i="5"/>
  <c r="L60" i="2"/>
  <c r="L59" i="2"/>
  <c r="L63" i="2"/>
  <c r="L62" i="2"/>
  <c r="O59" i="2"/>
  <c r="K62" i="2"/>
  <c r="O60" i="2"/>
  <c r="N59" i="2"/>
  <c r="J62" i="2"/>
  <c r="K63" i="2"/>
  <c r="L124" i="5" l="1"/>
  <c r="L137" i="5"/>
  <c r="K55" i="5"/>
  <c r="L194" i="5"/>
  <c r="K146" i="5"/>
  <c r="L176" i="5"/>
  <c r="K85" i="5"/>
  <c r="K33" i="5"/>
  <c r="L120" i="5"/>
  <c r="K181" i="5"/>
  <c r="K163" i="5"/>
  <c r="K111" i="5"/>
  <c r="K102" i="5"/>
  <c r="L207" i="5"/>
  <c r="K94" i="5"/>
  <c r="K168" i="5"/>
  <c r="K207" i="5"/>
  <c r="L46" i="5"/>
  <c r="E17" i="20"/>
  <c r="AK30" i="20"/>
  <c r="AK31" i="20" s="1"/>
  <c r="K142" i="5"/>
  <c r="L76" i="5"/>
  <c r="K72" i="5"/>
  <c r="K185" i="5"/>
  <c r="K76" i="5"/>
  <c r="K46" i="5"/>
  <c r="L159" i="5"/>
  <c r="K68" i="5"/>
  <c r="L50" i="5"/>
  <c r="L133" i="5"/>
  <c r="L94" i="5"/>
  <c r="K129" i="5"/>
  <c r="L198" i="5"/>
  <c r="K202" i="5"/>
  <c r="K115" i="5"/>
  <c r="L172" i="5"/>
  <c r="K98" i="5"/>
  <c r="L63" i="5"/>
  <c r="K63" i="5"/>
  <c r="K124" i="5"/>
  <c r="K137" i="5"/>
  <c r="K155" i="5"/>
  <c r="K50" i="5"/>
  <c r="K150" i="5"/>
  <c r="K189" i="5"/>
  <c r="L41" i="5"/>
  <c r="L189" i="5"/>
  <c r="K120" i="5"/>
  <c r="L146" i="5"/>
  <c r="L150" i="5"/>
  <c r="L202" i="5"/>
  <c r="K37" i="5"/>
  <c r="L102" i="5"/>
  <c r="K107" i="5"/>
  <c r="K59" i="5"/>
  <c r="L80" i="5"/>
  <c r="L59" i="5"/>
  <c r="L33" i="5"/>
  <c r="K24" i="5"/>
  <c r="K198" i="5"/>
  <c r="L111" i="5"/>
  <c r="L85" i="5"/>
  <c r="L181" i="5"/>
  <c r="L98" i="5"/>
  <c r="L163" i="5"/>
  <c r="L142" i="5"/>
  <c r="L24" i="5"/>
  <c r="K41" i="5"/>
  <c r="K89" i="5"/>
  <c r="L89" i="5"/>
  <c r="K194" i="5"/>
  <c r="K172" i="5"/>
  <c r="L185" i="5"/>
  <c r="L155" i="5"/>
  <c r="K133" i="5"/>
  <c r="L115" i="5"/>
  <c r="K176" i="5"/>
  <c r="L129" i="5"/>
  <c r="L68" i="5"/>
  <c r="K80" i="5"/>
  <c r="L107" i="5"/>
  <c r="L168" i="5"/>
  <c r="L72" i="5"/>
  <c r="AR27" i="5"/>
  <c r="AD18" i="5"/>
  <c r="W19" i="5"/>
  <c r="AS32" i="5"/>
  <c r="AL35" i="20"/>
  <c r="AN27" i="5"/>
  <c r="A17" i="5"/>
  <c r="B18" i="5"/>
  <c r="C18" i="5"/>
  <c r="AD159" i="5"/>
  <c r="AK159" i="5"/>
  <c r="AC108" i="5"/>
  <c r="AJ108" i="5"/>
  <c r="AC170" i="5"/>
  <c r="AJ170" i="5"/>
  <c r="AD111" i="5"/>
  <c r="AK111" i="5"/>
  <c r="AJ143" i="5"/>
  <c r="AC143" i="5"/>
  <c r="AD124" i="5"/>
  <c r="AK124" i="5"/>
  <c r="AK115" i="5"/>
  <c r="AD115" i="5"/>
  <c r="AD152" i="5"/>
  <c r="AK152" i="5"/>
  <c r="AJ46" i="5"/>
  <c r="AC46" i="5"/>
  <c r="AD169" i="5"/>
  <c r="AK169" i="5"/>
  <c r="AK23" i="5"/>
  <c r="AK75" i="5"/>
  <c r="AD75" i="5"/>
  <c r="AC190" i="5"/>
  <c r="AJ190" i="5"/>
  <c r="AD131" i="5"/>
  <c r="AK131" i="5"/>
  <c r="AJ42" i="5"/>
  <c r="AC42" i="5"/>
  <c r="AC134" i="5"/>
  <c r="AJ134" i="5"/>
  <c r="AJ66" i="5"/>
  <c r="AC66" i="5"/>
  <c r="AJ95" i="5"/>
  <c r="AC95" i="5"/>
  <c r="AD128" i="5"/>
  <c r="AK128" i="5"/>
  <c r="AC105" i="5"/>
  <c r="AJ105" i="5"/>
  <c r="AD176" i="5"/>
  <c r="AK176" i="5"/>
  <c r="AD196" i="5"/>
  <c r="AK196" i="5"/>
  <c r="AJ98" i="5"/>
  <c r="AC98" i="5"/>
  <c r="AK200" i="5"/>
  <c r="AD200" i="5"/>
  <c r="AC151" i="5"/>
  <c r="AJ151" i="5"/>
  <c r="AC124" i="5"/>
  <c r="AJ124" i="5"/>
  <c r="AD170" i="5"/>
  <c r="AK170" i="5"/>
  <c r="AK98" i="5"/>
  <c r="AD98" i="5"/>
  <c r="AJ152" i="5"/>
  <c r="AC152" i="5"/>
  <c r="AD156" i="5"/>
  <c r="AK156" i="5"/>
  <c r="AD194" i="5"/>
  <c r="AK194" i="5"/>
  <c r="AJ68" i="5"/>
  <c r="AC68" i="5"/>
  <c r="AC161" i="5"/>
  <c r="AJ161" i="5"/>
  <c r="AK103" i="5"/>
  <c r="AD103" i="5"/>
  <c r="AD141" i="5"/>
  <c r="AK141" i="5"/>
  <c r="AJ199" i="5"/>
  <c r="AC199" i="5"/>
  <c r="AJ165" i="5"/>
  <c r="AC165" i="5"/>
  <c r="AJ97" i="5"/>
  <c r="AC97" i="5"/>
  <c r="AC21" i="5"/>
  <c r="AJ25" i="5"/>
  <c r="AC25" i="5"/>
  <c r="AK85" i="5"/>
  <c r="AD85" i="5"/>
  <c r="AC36" i="5"/>
  <c r="AJ36" i="5"/>
  <c r="AK118" i="5"/>
  <c r="AD118" i="5"/>
  <c r="AD172" i="5"/>
  <c r="AK172" i="5"/>
  <c r="AK166" i="5"/>
  <c r="AD166" i="5"/>
  <c r="AJ78" i="5"/>
  <c r="AC78" i="5"/>
  <c r="AC181" i="5"/>
  <c r="AJ181" i="5"/>
  <c r="AJ163" i="5"/>
  <c r="AC163" i="5"/>
  <c r="AD161" i="5"/>
  <c r="AK161" i="5"/>
  <c r="AD53" i="5"/>
  <c r="AK53" i="5"/>
  <c r="AK165" i="5"/>
  <c r="AD165" i="5"/>
  <c r="AK97" i="5"/>
  <c r="AD97" i="5"/>
  <c r="AJ120" i="5"/>
  <c r="AC120" i="5"/>
  <c r="AJ176" i="5"/>
  <c r="AC176" i="5"/>
  <c r="AJ136" i="5"/>
  <c r="AC136" i="5"/>
  <c r="AJ99" i="5"/>
  <c r="AC99" i="5"/>
  <c r="AD179" i="5"/>
  <c r="AK179" i="5"/>
  <c r="AJ192" i="5"/>
  <c r="AC192" i="5"/>
  <c r="AC201" i="5"/>
  <c r="AJ201" i="5"/>
  <c r="AC193" i="5"/>
  <c r="AJ193" i="5"/>
  <c r="AC153" i="5"/>
  <c r="AJ153" i="5"/>
  <c r="AD181" i="5"/>
  <c r="AK181" i="5"/>
  <c r="AD94" i="5"/>
  <c r="AK94" i="5"/>
  <c r="AD42" i="5"/>
  <c r="AK42" i="5"/>
  <c r="AJ169" i="5"/>
  <c r="AC169" i="5"/>
  <c r="AC144" i="5"/>
  <c r="AJ144" i="5"/>
  <c r="AK175" i="5"/>
  <c r="AD175" i="5"/>
  <c r="AJ117" i="5"/>
  <c r="AC117" i="5"/>
  <c r="AJ109" i="5"/>
  <c r="AC109" i="5"/>
  <c r="AD105" i="5"/>
  <c r="AK105" i="5"/>
  <c r="AJ196" i="5"/>
  <c r="AC196" i="5"/>
  <c r="AD138" i="5"/>
  <c r="AK138" i="5"/>
  <c r="AC150" i="5"/>
  <c r="AJ150" i="5"/>
  <c r="AJ189" i="5"/>
  <c r="AC189" i="5"/>
  <c r="AK195" i="5"/>
  <c r="AD195" i="5"/>
  <c r="AK108" i="5"/>
  <c r="AD108" i="5"/>
  <c r="AD171" i="5"/>
  <c r="AK171" i="5"/>
  <c r="AC191" i="5"/>
  <c r="AJ191" i="5"/>
  <c r="AK65" i="5"/>
  <c r="AD65" i="5"/>
  <c r="AJ62" i="5"/>
  <c r="AC62" i="5"/>
  <c r="AD144" i="5"/>
  <c r="AK144" i="5"/>
  <c r="AJ160" i="5"/>
  <c r="AC160" i="5"/>
  <c r="AD125" i="5"/>
  <c r="AK125" i="5"/>
  <c r="AD199" i="5"/>
  <c r="AK199" i="5"/>
  <c r="AK40" i="5"/>
  <c r="AD40" i="5"/>
  <c r="AD174" i="5"/>
  <c r="AK174" i="5"/>
  <c r="AD62" i="5"/>
  <c r="AK62" i="5"/>
  <c r="AC20" i="5"/>
  <c r="AC24" i="5"/>
  <c r="AJ24" i="5"/>
  <c r="AC154" i="5"/>
  <c r="AJ154" i="5"/>
  <c r="AC205" i="5"/>
  <c r="AJ205" i="5"/>
  <c r="AC127" i="5"/>
  <c r="AJ127" i="5"/>
  <c r="AD142" i="5"/>
  <c r="AK142" i="5"/>
  <c r="AK68" i="5"/>
  <c r="AD68" i="5"/>
  <c r="AK145" i="5"/>
  <c r="AD145" i="5"/>
  <c r="AC139" i="5"/>
  <c r="AJ139" i="5"/>
  <c r="AD90" i="5"/>
  <c r="AK90" i="5"/>
  <c r="AK168" i="5"/>
  <c r="AD168" i="5"/>
  <c r="AC59" i="5"/>
  <c r="AJ59" i="5"/>
  <c r="AD209" i="5"/>
  <c r="AK209" i="5"/>
  <c r="AC71" i="5"/>
  <c r="AJ71" i="5"/>
  <c r="AJ19" i="5"/>
  <c r="AD73" i="5"/>
  <c r="AK73" i="5"/>
  <c r="AK21" i="5"/>
  <c r="AJ145" i="5"/>
  <c r="AC145" i="5"/>
  <c r="AC128" i="5"/>
  <c r="AJ128" i="5"/>
  <c r="AC113" i="5"/>
  <c r="AJ113" i="5"/>
  <c r="AC185" i="5"/>
  <c r="AJ185" i="5"/>
  <c r="AJ195" i="5"/>
  <c r="AC195" i="5"/>
  <c r="AD201" i="5"/>
  <c r="AK201" i="5"/>
  <c r="AD134" i="5"/>
  <c r="AK134" i="5"/>
  <c r="AC175" i="5"/>
  <c r="AJ175" i="5"/>
  <c r="AK117" i="5"/>
  <c r="AD117" i="5"/>
  <c r="AD102" i="5"/>
  <c r="AK102" i="5"/>
  <c r="AC39" i="5"/>
  <c r="AJ39" i="5"/>
  <c r="AD158" i="5"/>
  <c r="AK158" i="5"/>
  <c r="AD110" i="5"/>
  <c r="AK110" i="5"/>
  <c r="AD31" i="5"/>
  <c r="AK31" i="5"/>
  <c r="AK33" i="5"/>
  <c r="AD33" i="5"/>
  <c r="AJ118" i="5"/>
  <c r="AC118" i="5"/>
  <c r="AJ82" i="5"/>
  <c r="AC82" i="5"/>
  <c r="AD20" i="5"/>
  <c r="AK24" i="5"/>
  <c r="AD24" i="5"/>
  <c r="AC164" i="5"/>
  <c r="AJ164" i="5"/>
  <c r="AD205" i="5"/>
  <c r="AK205" i="5"/>
  <c r="AK127" i="5"/>
  <c r="AD127" i="5"/>
  <c r="AD182" i="5"/>
  <c r="AK182" i="5"/>
  <c r="AD185" i="5"/>
  <c r="AK185" i="5"/>
  <c r="AJ200" i="5"/>
  <c r="AC200" i="5"/>
  <c r="AC50" i="5"/>
  <c r="AJ50" i="5"/>
  <c r="AD178" i="5"/>
  <c r="AK178" i="5"/>
  <c r="AJ106" i="5"/>
  <c r="AC106" i="5"/>
  <c r="AC111" i="5"/>
  <c r="AJ111" i="5"/>
  <c r="AC156" i="5"/>
  <c r="AJ156" i="5"/>
  <c r="AK155" i="5"/>
  <c r="AD155" i="5"/>
  <c r="AJ138" i="5"/>
  <c r="AC138" i="5"/>
  <c r="AD30" i="5"/>
  <c r="AK30" i="5"/>
  <c r="AJ48" i="5"/>
  <c r="AC48" i="5"/>
  <c r="AJ122" i="5"/>
  <c r="AC122" i="5"/>
  <c r="AC34" i="5"/>
  <c r="AJ34" i="5"/>
  <c r="AK164" i="5"/>
  <c r="AD164" i="5"/>
  <c r="AC137" i="5"/>
  <c r="AJ137" i="5"/>
  <c r="AJ29" i="5"/>
  <c r="AC29" i="5"/>
  <c r="AJ100" i="5"/>
  <c r="AC100" i="5"/>
  <c r="AC188" i="5"/>
  <c r="AJ188" i="5"/>
  <c r="AJ148" i="5"/>
  <c r="AC148" i="5"/>
  <c r="AD151" i="5"/>
  <c r="AK151" i="5"/>
  <c r="AK26" i="5"/>
  <c r="AD22" i="5"/>
  <c r="AD26" i="5"/>
  <c r="AC110" i="5"/>
  <c r="AJ110" i="5"/>
  <c r="AK60" i="5"/>
  <c r="AD60" i="5"/>
  <c r="AK206" i="5"/>
  <c r="AD206" i="5"/>
  <c r="AK148" i="5"/>
  <c r="AD148" i="5"/>
  <c r="AC131" i="5"/>
  <c r="AJ131" i="5"/>
  <c r="AD71" i="5"/>
  <c r="AK71" i="5"/>
  <c r="AK19" i="5"/>
  <c r="AD189" i="5"/>
  <c r="AK189" i="5"/>
  <c r="AJ76" i="5"/>
  <c r="AC76" i="5"/>
  <c r="AD190" i="5"/>
  <c r="AK190" i="5"/>
  <c r="AK198" i="5"/>
  <c r="AD198" i="5"/>
  <c r="AC171" i="5"/>
  <c r="AJ171" i="5"/>
  <c r="AD36" i="5"/>
  <c r="AK36" i="5"/>
  <c r="AK163" i="5"/>
  <c r="AD163" i="5"/>
  <c r="AD130" i="5"/>
  <c r="AK130" i="5"/>
  <c r="AJ158" i="5"/>
  <c r="AC158" i="5"/>
  <c r="AD93" i="5"/>
  <c r="AK93" i="5"/>
  <c r="AJ162" i="5"/>
  <c r="AC162" i="5"/>
  <c r="AK44" i="5"/>
  <c r="AD44" i="5"/>
  <c r="AC184" i="5"/>
  <c r="AJ184" i="5"/>
  <c r="AJ27" i="5"/>
  <c r="AC23" i="5"/>
  <c r="AC27" i="5"/>
  <c r="AJ157" i="5"/>
  <c r="AC157" i="5"/>
  <c r="AJ166" i="5"/>
  <c r="AC166" i="5"/>
  <c r="AJ129" i="5"/>
  <c r="AC129" i="5"/>
  <c r="AD70" i="5"/>
  <c r="AK70" i="5"/>
  <c r="AJ40" i="5"/>
  <c r="AC40" i="5"/>
  <c r="AJ209" i="5"/>
  <c r="AC209" i="5"/>
  <c r="AK208" i="5"/>
  <c r="AD208" i="5"/>
  <c r="AD49" i="5"/>
  <c r="AK49" i="5"/>
  <c r="AK46" i="5"/>
  <c r="AD46" i="5"/>
  <c r="AD193" i="5"/>
  <c r="AK193" i="5"/>
  <c r="AD150" i="5"/>
  <c r="AK150" i="5"/>
  <c r="AJ168" i="5"/>
  <c r="AC168" i="5"/>
  <c r="AC70" i="5"/>
  <c r="AJ70" i="5"/>
  <c r="AJ142" i="5"/>
  <c r="AC142" i="5"/>
  <c r="AK137" i="5"/>
  <c r="AD137" i="5"/>
  <c r="AJ146" i="5"/>
  <c r="AC146" i="5"/>
  <c r="AK43" i="5"/>
  <c r="AD43" i="5"/>
  <c r="AK55" i="5"/>
  <c r="AD55" i="5"/>
  <c r="AK133" i="5"/>
  <c r="AD133" i="5"/>
  <c r="AC88" i="5"/>
  <c r="AJ88" i="5"/>
  <c r="AJ182" i="5"/>
  <c r="AC182" i="5"/>
  <c r="AC54" i="5"/>
  <c r="AJ54" i="5"/>
  <c r="AK184" i="5"/>
  <c r="AD184" i="5"/>
  <c r="AD23" i="5"/>
  <c r="AD27" i="5"/>
  <c r="AK27" i="5"/>
  <c r="AK157" i="5"/>
  <c r="AD157" i="5"/>
  <c r="AJ179" i="5"/>
  <c r="AC179" i="5"/>
  <c r="AC30" i="5"/>
  <c r="AJ30" i="5"/>
  <c r="AJ96" i="5"/>
  <c r="AC96" i="5"/>
  <c r="AD59" i="5"/>
  <c r="AK59" i="5"/>
  <c r="AD56" i="5"/>
  <c r="AK56" i="5"/>
  <c r="AK203" i="5"/>
  <c r="AD203" i="5"/>
  <c r="AK180" i="5"/>
  <c r="AD180" i="5"/>
  <c r="AJ178" i="5"/>
  <c r="AC178" i="5"/>
  <c r="AK160" i="5"/>
  <c r="AD160" i="5"/>
  <c r="AD82" i="5"/>
  <c r="AK82" i="5"/>
  <c r="AC93" i="5"/>
  <c r="AJ93" i="5"/>
  <c r="AC174" i="5"/>
  <c r="AJ174" i="5"/>
  <c r="AJ67" i="5"/>
  <c r="AC67" i="5"/>
  <c r="AJ60" i="5"/>
  <c r="AC60" i="5"/>
  <c r="AD39" i="5"/>
  <c r="AK39" i="5"/>
  <c r="AC33" i="5"/>
  <c r="AJ33" i="5"/>
  <c r="AD173" i="5"/>
  <c r="AK173" i="5"/>
  <c r="AJ202" i="5"/>
  <c r="AC202" i="5"/>
  <c r="AC64" i="5"/>
  <c r="AJ64" i="5"/>
  <c r="AC194" i="5"/>
  <c r="AJ194" i="5"/>
  <c r="AC37" i="5"/>
  <c r="AJ37" i="5"/>
  <c r="AJ167" i="5"/>
  <c r="AC167" i="5"/>
  <c r="AJ135" i="5"/>
  <c r="AC135" i="5"/>
  <c r="AJ80" i="5"/>
  <c r="AC80" i="5"/>
  <c r="AJ140" i="5"/>
  <c r="AC140" i="5"/>
  <c r="AD69" i="5"/>
  <c r="AK69" i="5"/>
  <c r="AJ147" i="5"/>
  <c r="AC147" i="5"/>
  <c r="AK66" i="5"/>
  <c r="AD66" i="5"/>
  <c r="AD188" i="5"/>
  <c r="AK188" i="5"/>
  <c r="AC210" i="5"/>
  <c r="AJ210" i="5"/>
  <c r="AD202" i="5"/>
  <c r="AK202" i="5"/>
  <c r="AJ65" i="5"/>
  <c r="AC65" i="5"/>
  <c r="AJ52" i="5"/>
  <c r="AC52" i="5"/>
  <c r="AD121" i="5"/>
  <c r="AK121" i="5"/>
  <c r="AD207" i="5"/>
  <c r="AK207" i="5"/>
  <c r="AJ45" i="5"/>
  <c r="AC45" i="5"/>
  <c r="AK64" i="5"/>
  <c r="AD64" i="5"/>
  <c r="AK37" i="5"/>
  <c r="AD37" i="5"/>
  <c r="AK167" i="5"/>
  <c r="AD167" i="5"/>
  <c r="AC130" i="5"/>
  <c r="AJ130" i="5"/>
  <c r="AJ206" i="5"/>
  <c r="AC206" i="5"/>
  <c r="AD79" i="5"/>
  <c r="AK79" i="5"/>
  <c r="AJ32" i="5"/>
  <c r="AC32" i="5"/>
  <c r="AD28" i="5"/>
  <c r="AK28" i="5"/>
  <c r="AJ183" i="5"/>
  <c r="AC183" i="5"/>
  <c r="AJ102" i="5"/>
  <c r="AC102" i="5"/>
  <c r="AJ103" i="5"/>
  <c r="AC103" i="5"/>
  <c r="AC74" i="5"/>
  <c r="AJ22" i="5"/>
  <c r="AJ74" i="5"/>
  <c r="AD204" i="5"/>
  <c r="AK204" i="5"/>
  <c r="AJ47" i="5"/>
  <c r="AC47" i="5"/>
  <c r="AC177" i="5"/>
  <c r="AJ177" i="5"/>
  <c r="AJ86" i="5"/>
  <c r="AC86" i="5"/>
  <c r="AJ180" i="5"/>
  <c r="AC180" i="5"/>
  <c r="AD89" i="5"/>
  <c r="AK89" i="5"/>
  <c r="AD32" i="5"/>
  <c r="AK32" i="5"/>
  <c r="AD153" i="5"/>
  <c r="AK153" i="5"/>
  <c r="AK86" i="5"/>
  <c r="AD86" i="5"/>
  <c r="AC208" i="5"/>
  <c r="AJ208" i="5"/>
  <c r="AC107" i="5"/>
  <c r="AJ107" i="5"/>
  <c r="AK63" i="5"/>
  <c r="AD63" i="5"/>
  <c r="AC125" i="5"/>
  <c r="AJ125" i="5"/>
  <c r="AJ203" i="5"/>
  <c r="AC203" i="5"/>
  <c r="AC84" i="5"/>
  <c r="AJ84" i="5"/>
  <c r="AD47" i="5"/>
  <c r="AK47" i="5"/>
  <c r="AK177" i="5"/>
  <c r="AD177" i="5"/>
  <c r="AK35" i="5"/>
  <c r="AD35" i="5"/>
  <c r="AJ186" i="5"/>
  <c r="AC186" i="5"/>
  <c r="AD99" i="5"/>
  <c r="AK99" i="5"/>
  <c r="AD52" i="5"/>
  <c r="AK52" i="5"/>
  <c r="AD96" i="5"/>
  <c r="AK96" i="5"/>
  <c r="AK120" i="5"/>
  <c r="AD120" i="5"/>
  <c r="AK186" i="5"/>
  <c r="AD186" i="5"/>
  <c r="AD191" i="5"/>
  <c r="AK191" i="5"/>
  <c r="AK20" i="5"/>
  <c r="AD72" i="5"/>
  <c r="AK72" i="5"/>
  <c r="AJ89" i="5"/>
  <c r="AC89" i="5"/>
  <c r="AJ123" i="5"/>
  <c r="AC123" i="5"/>
  <c r="AC204" i="5"/>
  <c r="AJ204" i="5"/>
  <c r="AC56" i="5"/>
  <c r="AJ56" i="5"/>
  <c r="AD76" i="5"/>
  <c r="AK76" i="5"/>
  <c r="AJ198" i="5"/>
  <c r="AC198" i="5"/>
  <c r="AJ79" i="5"/>
  <c r="AC79" i="5"/>
  <c r="AJ49" i="5"/>
  <c r="AC49" i="5"/>
  <c r="AC41" i="5"/>
  <c r="AJ41" i="5"/>
  <c r="AK143" i="5"/>
  <c r="AD143" i="5"/>
  <c r="AC159" i="5"/>
  <c r="AJ159" i="5"/>
  <c r="AC73" i="5"/>
  <c r="AJ73" i="5"/>
  <c r="AJ21" i="5"/>
  <c r="AJ63" i="5"/>
  <c r="AC63" i="5"/>
  <c r="AK84" i="5"/>
  <c r="AD84" i="5"/>
  <c r="AC57" i="5"/>
  <c r="AJ57" i="5"/>
  <c r="AC187" i="5"/>
  <c r="AJ187" i="5"/>
  <c r="AJ23" i="5"/>
  <c r="AC75" i="5"/>
  <c r="AJ75" i="5"/>
  <c r="AK67" i="5"/>
  <c r="AD67" i="5"/>
  <c r="AD38" i="5"/>
  <c r="AK38" i="5"/>
  <c r="AD109" i="5"/>
  <c r="AK109" i="5"/>
  <c r="AJ20" i="5"/>
  <c r="AC72" i="5"/>
  <c r="AJ72" i="5"/>
  <c r="AK83" i="5"/>
  <c r="AD83" i="5"/>
  <c r="AK106" i="5"/>
  <c r="AD106" i="5"/>
  <c r="AK100" i="5"/>
  <c r="AD100" i="5"/>
  <c r="AD29" i="5"/>
  <c r="AK29" i="5"/>
  <c r="AJ92" i="5"/>
  <c r="AC92" i="5"/>
  <c r="AD112" i="5"/>
  <c r="AK112" i="5"/>
  <c r="AC44" i="5"/>
  <c r="AJ44" i="5"/>
  <c r="AC61" i="5"/>
  <c r="AJ61" i="5"/>
  <c r="AD41" i="5"/>
  <c r="AK41" i="5"/>
  <c r="AJ133" i="5"/>
  <c r="AC133" i="5"/>
  <c r="AD54" i="5"/>
  <c r="AK54" i="5"/>
  <c r="AC94" i="5"/>
  <c r="AJ94" i="5"/>
  <c r="AK57" i="5"/>
  <c r="AD57" i="5"/>
  <c r="AD187" i="5"/>
  <c r="AK187" i="5"/>
  <c r="AJ26" i="5"/>
  <c r="AC22" i="5"/>
  <c r="AC26" i="5"/>
  <c r="AC115" i="5"/>
  <c r="AJ115" i="5"/>
  <c r="AD107" i="5"/>
  <c r="AK107" i="5"/>
  <c r="AK48" i="5"/>
  <c r="AD48" i="5"/>
  <c r="AD119" i="5"/>
  <c r="AK119" i="5"/>
  <c r="AD92" i="5"/>
  <c r="AK92" i="5"/>
  <c r="AD113" i="5"/>
  <c r="AK113" i="5"/>
  <c r="AD116" i="5"/>
  <c r="AK116" i="5"/>
  <c r="AK34" i="5"/>
  <c r="AD34" i="5"/>
  <c r="AC90" i="5"/>
  <c r="AJ90" i="5"/>
  <c r="AC81" i="5"/>
  <c r="AJ81" i="5"/>
  <c r="AC85" i="5"/>
  <c r="AJ85" i="5"/>
  <c r="AD61" i="5"/>
  <c r="AK61" i="5"/>
  <c r="AC173" i="5"/>
  <c r="AJ173" i="5"/>
  <c r="AK95" i="5"/>
  <c r="AD95" i="5"/>
  <c r="AJ53" i="5"/>
  <c r="AC53" i="5"/>
  <c r="AC104" i="5"/>
  <c r="AJ104" i="5"/>
  <c r="AJ77" i="5"/>
  <c r="AC77" i="5"/>
  <c r="AJ197" i="5"/>
  <c r="AC197" i="5"/>
  <c r="AJ69" i="5"/>
  <c r="AC69" i="5"/>
  <c r="AJ126" i="5"/>
  <c r="AC126" i="5"/>
  <c r="AD21" i="5"/>
  <c r="AK25" i="5"/>
  <c r="AD25" i="5"/>
  <c r="AC155" i="5"/>
  <c r="AJ155" i="5"/>
  <c r="AK147" i="5"/>
  <c r="AD147" i="5"/>
  <c r="AD58" i="5"/>
  <c r="AK58" i="5"/>
  <c r="AD129" i="5"/>
  <c r="AK129" i="5"/>
  <c r="AC112" i="5"/>
  <c r="AJ112" i="5"/>
  <c r="AK123" i="5"/>
  <c r="AD123" i="5"/>
  <c r="AK126" i="5"/>
  <c r="AD126" i="5"/>
  <c r="AK22" i="5"/>
  <c r="AD74" i="5"/>
  <c r="AK74" i="5"/>
  <c r="AC28" i="5"/>
  <c r="AJ28" i="5"/>
  <c r="AC31" i="5"/>
  <c r="AJ31" i="5"/>
  <c r="AJ132" i="5"/>
  <c r="AC132" i="5"/>
  <c r="AD162" i="5"/>
  <c r="AK162" i="5"/>
  <c r="AC141" i="5"/>
  <c r="AJ141" i="5"/>
  <c r="AD87" i="5"/>
  <c r="AK87" i="5"/>
  <c r="AC101" i="5"/>
  <c r="AJ101" i="5"/>
  <c r="AJ43" i="5"/>
  <c r="AC43" i="5"/>
  <c r="AC119" i="5"/>
  <c r="AJ119" i="5"/>
  <c r="AD81" i="5"/>
  <c r="AK81" i="5"/>
  <c r="AK135" i="5"/>
  <c r="AD135" i="5"/>
  <c r="AD104" i="5"/>
  <c r="AK104" i="5"/>
  <c r="AK77" i="5"/>
  <c r="AD77" i="5"/>
  <c r="AK197" i="5"/>
  <c r="AD197" i="5"/>
  <c r="AJ116" i="5"/>
  <c r="AC116" i="5"/>
  <c r="AC172" i="5"/>
  <c r="AJ172" i="5"/>
  <c r="AJ35" i="5"/>
  <c r="AC35" i="5"/>
  <c r="AD78" i="5"/>
  <c r="AK78" i="5"/>
  <c r="AD139" i="5"/>
  <c r="AK139" i="5"/>
  <c r="AD122" i="5"/>
  <c r="AK122" i="5"/>
  <c r="AD136" i="5"/>
  <c r="AK136" i="5"/>
  <c r="AK114" i="5"/>
  <c r="AD114" i="5"/>
  <c r="AK80" i="5"/>
  <c r="AD80" i="5"/>
  <c r="AJ38" i="5"/>
  <c r="AC38" i="5"/>
  <c r="AC91" i="5"/>
  <c r="AJ91" i="5"/>
  <c r="AD51" i="5"/>
  <c r="AK51" i="5"/>
  <c r="AC121" i="5"/>
  <c r="AJ121" i="5"/>
  <c r="AJ83" i="5"/>
  <c r="AC83" i="5"/>
  <c r="AD101" i="5"/>
  <c r="AK101" i="5"/>
  <c r="AC51" i="5"/>
  <c r="AJ51" i="5"/>
  <c r="AD149" i="5"/>
  <c r="AK149" i="5"/>
  <c r="AC114" i="5"/>
  <c r="AJ114" i="5"/>
  <c r="AK183" i="5"/>
  <c r="AD183" i="5"/>
  <c r="AJ87" i="5"/>
  <c r="AC87" i="5"/>
  <c r="AC207" i="5"/>
  <c r="AJ207" i="5"/>
  <c r="AK45" i="5"/>
  <c r="AD45" i="5"/>
  <c r="AC55" i="5"/>
  <c r="AJ55" i="5"/>
  <c r="AD88" i="5"/>
  <c r="AK88" i="5"/>
  <c r="AJ149" i="5"/>
  <c r="AC149" i="5"/>
  <c r="AD210" i="5"/>
  <c r="AK210" i="5"/>
  <c r="AD132" i="5"/>
  <c r="AK132" i="5"/>
  <c r="AK146" i="5"/>
  <c r="AD146" i="5"/>
  <c r="AD154" i="5"/>
  <c r="AK154" i="5"/>
  <c r="AK140" i="5"/>
  <c r="AD140" i="5"/>
  <c r="AJ58" i="5"/>
  <c r="AC58" i="5"/>
  <c r="AD50" i="5"/>
  <c r="AK50" i="5"/>
  <c r="AD91" i="5"/>
  <c r="AK91" i="5"/>
  <c r="AD192" i="5"/>
  <c r="AK192" i="5"/>
  <c r="W161" i="5"/>
  <c r="W192" i="5"/>
  <c r="W72" i="5"/>
  <c r="V131" i="5"/>
  <c r="W191" i="5"/>
  <c r="V132" i="5"/>
  <c r="W51" i="5"/>
  <c r="W112" i="5"/>
  <c r="W111" i="5"/>
  <c r="W151" i="5"/>
  <c r="W171" i="5"/>
  <c r="V52" i="5"/>
  <c r="V51" i="5"/>
  <c r="V137" i="5"/>
  <c r="W71" i="5"/>
  <c r="V92" i="5"/>
  <c r="V150" i="5"/>
  <c r="AO28" i="5"/>
  <c r="W73" i="5"/>
  <c r="V91" i="5"/>
  <c r="W210" i="5"/>
  <c r="W154" i="5"/>
  <c r="W170" i="5"/>
  <c r="W159" i="5"/>
  <c r="V151" i="5"/>
  <c r="W155" i="5"/>
  <c r="W194" i="5"/>
  <c r="W91" i="5"/>
  <c r="AO32" i="5"/>
  <c r="V190" i="5"/>
  <c r="W70" i="5"/>
  <c r="W66" i="5"/>
  <c r="V189" i="5"/>
  <c r="V191" i="5"/>
  <c r="W187" i="5"/>
  <c r="W50" i="5"/>
  <c r="W90" i="5"/>
  <c r="V64" i="5"/>
  <c r="V31" i="5"/>
  <c r="V207" i="5"/>
  <c r="V154" i="5"/>
  <c r="W131" i="5"/>
  <c r="W146" i="5"/>
  <c r="V106" i="5"/>
  <c r="W32" i="5"/>
  <c r="W110" i="5"/>
  <c r="W27" i="5"/>
  <c r="V107" i="5"/>
  <c r="V30" i="5"/>
  <c r="W130" i="5"/>
  <c r="V74" i="5"/>
  <c r="W95" i="5"/>
  <c r="W185" i="5"/>
  <c r="W30" i="5"/>
  <c r="V128" i="5"/>
  <c r="V144" i="5"/>
  <c r="V90" i="5"/>
  <c r="V78" i="5"/>
  <c r="V138" i="5"/>
  <c r="W195" i="5"/>
  <c r="V104" i="5"/>
  <c r="W199" i="5"/>
  <c r="W122" i="5"/>
  <c r="V39" i="5"/>
  <c r="W176" i="5"/>
  <c r="V169" i="5"/>
  <c r="V29" i="5"/>
  <c r="W39" i="5"/>
  <c r="V170" i="5"/>
  <c r="W163" i="5"/>
  <c r="W44" i="5"/>
  <c r="V34" i="5"/>
  <c r="W56" i="5"/>
  <c r="W64" i="5"/>
  <c r="W74" i="5"/>
  <c r="W31" i="5"/>
  <c r="V27" i="5"/>
  <c r="W175" i="5"/>
  <c r="W82" i="5"/>
  <c r="W106" i="5"/>
  <c r="W29" i="5"/>
  <c r="W139" i="5"/>
  <c r="V203" i="5"/>
  <c r="W63" i="5"/>
  <c r="W165" i="5"/>
  <c r="V77" i="5"/>
  <c r="W49" i="5"/>
  <c r="W77" i="5"/>
  <c r="V110" i="5"/>
  <c r="V56" i="5"/>
  <c r="W142" i="5"/>
  <c r="W33" i="5"/>
  <c r="W181" i="5"/>
  <c r="W46" i="5"/>
  <c r="W150" i="5"/>
  <c r="W62" i="5"/>
  <c r="V139" i="5"/>
  <c r="V48" i="5"/>
  <c r="V122" i="5"/>
  <c r="W164" i="5"/>
  <c r="W99" i="5"/>
  <c r="W203" i="5"/>
  <c r="W174" i="5"/>
  <c r="V186" i="5"/>
  <c r="W79" i="5"/>
  <c r="V44" i="5"/>
  <c r="V174" i="5"/>
  <c r="V117" i="5"/>
  <c r="V147" i="5"/>
  <c r="W65" i="5"/>
  <c r="V210" i="5"/>
  <c r="W92" i="5"/>
  <c r="V116" i="5"/>
  <c r="W28" i="5"/>
  <c r="W84" i="5"/>
  <c r="W135" i="5"/>
  <c r="V89" i="5"/>
  <c r="V97" i="5"/>
  <c r="V54" i="5"/>
  <c r="W113" i="5"/>
  <c r="W153" i="5"/>
  <c r="W85" i="5"/>
  <c r="W87" i="5"/>
  <c r="V67" i="5"/>
  <c r="W138" i="5"/>
  <c r="W179" i="5"/>
  <c r="W97" i="5"/>
  <c r="V76" i="5"/>
  <c r="W168" i="5"/>
  <c r="V184" i="5"/>
  <c r="V72" i="5"/>
  <c r="W43" i="5"/>
  <c r="W132" i="5"/>
  <c r="V182" i="5"/>
  <c r="W162" i="5"/>
  <c r="W117" i="5"/>
  <c r="W105" i="5"/>
  <c r="W172" i="5"/>
  <c r="V202" i="5"/>
  <c r="V194" i="5"/>
  <c r="V135" i="5"/>
  <c r="W190" i="5"/>
  <c r="V146" i="5"/>
  <c r="V111" i="5"/>
  <c r="W127" i="5"/>
  <c r="V208" i="5"/>
  <c r="W125" i="5"/>
  <c r="W202" i="5"/>
  <c r="W59" i="5"/>
  <c r="W45" i="5"/>
  <c r="W156" i="5"/>
  <c r="V167" i="5"/>
  <c r="W193" i="5"/>
  <c r="V69" i="5"/>
  <c r="V105" i="5"/>
  <c r="V177" i="5"/>
  <c r="W107" i="5"/>
  <c r="W108" i="5"/>
  <c r="V70" i="5"/>
  <c r="V94" i="5"/>
  <c r="V26" i="5"/>
  <c r="V119" i="5"/>
  <c r="W149" i="5"/>
  <c r="W205" i="5"/>
  <c r="W147" i="5"/>
  <c r="W104" i="5"/>
  <c r="V66" i="5"/>
  <c r="W58" i="5"/>
  <c r="W119" i="5"/>
  <c r="W124" i="5"/>
  <c r="V57" i="5"/>
  <c r="V109" i="5"/>
  <c r="W129" i="5"/>
  <c r="V179" i="5"/>
  <c r="V50" i="5"/>
  <c r="W115" i="5"/>
  <c r="V171" i="5"/>
  <c r="W89" i="5"/>
  <c r="W35" i="5"/>
  <c r="W197" i="5"/>
  <c r="V155" i="5"/>
  <c r="W38" i="5"/>
  <c r="W137" i="5"/>
  <c r="V71" i="5"/>
  <c r="W186" i="5"/>
  <c r="W75" i="5"/>
  <c r="V187" i="5"/>
  <c r="W69" i="5"/>
  <c r="W25" i="5"/>
  <c r="W152" i="5"/>
  <c r="V102" i="5"/>
  <c r="V165" i="5"/>
  <c r="V114" i="5"/>
  <c r="W103" i="5"/>
  <c r="V199" i="5"/>
  <c r="V68" i="5"/>
  <c r="V175" i="5"/>
  <c r="V136" i="5"/>
  <c r="W98" i="5"/>
  <c r="V149" i="5"/>
  <c r="W55" i="5"/>
  <c r="W136" i="5"/>
  <c r="V73" i="5"/>
  <c r="V85" i="5"/>
  <c r="W48" i="5"/>
  <c r="W207" i="5"/>
  <c r="W189" i="5"/>
  <c r="V124" i="5"/>
  <c r="V181" i="5"/>
  <c r="V153" i="5"/>
  <c r="W42" i="5"/>
  <c r="V205" i="5"/>
  <c r="W68" i="5"/>
  <c r="W145" i="5"/>
  <c r="V28" i="5"/>
  <c r="V140" i="5"/>
  <c r="V160" i="5"/>
  <c r="V163" i="5"/>
  <c r="W53" i="5"/>
  <c r="V62" i="5"/>
  <c r="W183" i="5"/>
  <c r="V99" i="5"/>
  <c r="W128" i="5"/>
  <c r="V55" i="5"/>
  <c r="V113" i="5"/>
  <c r="W188" i="5"/>
  <c r="W78" i="5"/>
  <c r="V42" i="5"/>
  <c r="V134" i="5"/>
  <c r="W88" i="5"/>
  <c r="W169" i="5"/>
  <c r="V129" i="5"/>
  <c r="V130" i="5"/>
  <c r="V82" i="5"/>
  <c r="V142" i="5"/>
  <c r="W114" i="5"/>
  <c r="V59" i="5"/>
  <c r="W206" i="5"/>
  <c r="V25" i="5"/>
  <c r="V195" i="5"/>
  <c r="V58" i="5"/>
  <c r="W178" i="5"/>
  <c r="W209" i="5"/>
  <c r="V45" i="5"/>
  <c r="W184" i="5"/>
  <c r="W208" i="5"/>
  <c r="V112" i="5"/>
  <c r="W37" i="5"/>
  <c r="W167" i="5"/>
  <c r="V65" i="5"/>
  <c r="V75" i="5"/>
  <c r="V98" i="5"/>
  <c r="W94" i="5"/>
  <c r="W198" i="5"/>
  <c r="V145" i="5"/>
  <c r="W118" i="5"/>
  <c r="W34" i="5"/>
  <c r="V209" i="5"/>
  <c r="W157" i="5"/>
  <c r="V79" i="5"/>
  <c r="V108" i="5"/>
  <c r="V148" i="5"/>
  <c r="V115" i="5"/>
  <c r="V125" i="5"/>
  <c r="W47" i="5"/>
  <c r="W177" i="5"/>
  <c r="V95" i="5"/>
  <c r="W67" i="5"/>
  <c r="V178" i="5"/>
  <c r="W109" i="5"/>
  <c r="W144" i="5"/>
  <c r="W102" i="5"/>
  <c r="W158" i="5"/>
  <c r="V35" i="5"/>
  <c r="V38" i="5"/>
  <c r="V33" i="5"/>
  <c r="V49" i="5"/>
  <c r="V159" i="5"/>
  <c r="W134" i="5"/>
  <c r="V88" i="5"/>
  <c r="V103" i="5"/>
  <c r="V188" i="5"/>
  <c r="V84" i="5"/>
  <c r="V185" i="5"/>
  <c r="W57" i="5"/>
  <c r="V87" i="5"/>
  <c r="V86" i="5"/>
  <c r="V23" i="5"/>
  <c r="V24" i="5"/>
  <c r="W96" i="5"/>
  <c r="V201" i="5"/>
  <c r="V200" i="5"/>
  <c r="W160" i="5"/>
  <c r="V164" i="5"/>
  <c r="W93" i="5"/>
  <c r="V162" i="5"/>
  <c r="W116" i="5"/>
  <c r="V127" i="5"/>
  <c r="V126" i="5"/>
  <c r="W200" i="5"/>
  <c r="W201" i="5"/>
  <c r="V206" i="5"/>
  <c r="W123" i="5"/>
  <c r="V204" i="5"/>
  <c r="V118" i="5"/>
  <c r="W126" i="5"/>
  <c r="V152" i="5"/>
  <c r="W182" i="5"/>
  <c r="V157" i="5"/>
  <c r="V156" i="5"/>
  <c r="V40" i="5"/>
  <c r="V41" i="5"/>
  <c r="W143" i="5"/>
  <c r="W204" i="5"/>
  <c r="V32" i="5"/>
  <c r="V158" i="5"/>
  <c r="V37" i="5"/>
  <c r="V36" i="5"/>
  <c r="W83" i="5"/>
  <c r="V193" i="5"/>
  <c r="V192" i="5"/>
  <c r="W23" i="5"/>
  <c r="W24" i="5"/>
  <c r="V133" i="5"/>
  <c r="V53" i="5"/>
  <c r="W166" i="5"/>
  <c r="V176" i="5"/>
  <c r="W173" i="5"/>
  <c r="V183" i="5"/>
  <c r="W54" i="5"/>
  <c r="V43" i="5"/>
  <c r="W76" i="5"/>
  <c r="V168" i="5"/>
  <c r="W86" i="5"/>
  <c r="W133" i="5"/>
  <c r="V123" i="5"/>
  <c r="V61" i="5"/>
  <c r="V63" i="5"/>
  <c r="V80" i="5"/>
  <c r="V81" i="5"/>
  <c r="V173" i="5"/>
  <c r="V172" i="5"/>
  <c r="W180" i="5"/>
  <c r="V96" i="5"/>
  <c r="V60" i="5"/>
  <c r="V100" i="5"/>
  <c r="V101" i="5"/>
  <c r="W80" i="5"/>
  <c r="W81" i="5"/>
  <c r="V121" i="5"/>
  <c r="V120" i="5"/>
  <c r="V83" i="5"/>
  <c r="W100" i="5"/>
  <c r="W101" i="5"/>
  <c r="V141" i="5"/>
  <c r="W121" i="5"/>
  <c r="W120" i="5"/>
  <c r="V93" i="5"/>
  <c r="W26" i="5"/>
  <c r="V166" i="5"/>
  <c r="V180" i="5"/>
  <c r="W40" i="5"/>
  <c r="W41" i="5"/>
  <c r="W60" i="5"/>
  <c r="W61" i="5"/>
  <c r="V47" i="5"/>
  <c r="V46" i="5"/>
  <c r="V161" i="5"/>
  <c r="V143" i="5"/>
  <c r="W141" i="5"/>
  <c r="W140" i="5"/>
  <c r="W52" i="5"/>
  <c r="W36" i="5"/>
  <c r="W196" i="5"/>
  <c r="W148" i="5"/>
  <c r="V197" i="5"/>
  <c r="V196" i="5"/>
  <c r="V198" i="5"/>
  <c r="J63" i="2"/>
  <c r="E16" i="20" l="1"/>
  <c r="E15" i="20" s="1"/>
  <c r="E14" i="20" s="1"/>
  <c r="AL30" i="20"/>
  <c r="AL31" i="20" s="1"/>
  <c r="AR33" i="5"/>
  <c r="AR28" i="5"/>
  <c r="K16" i="5"/>
  <c r="V17" i="5"/>
  <c r="AC16" i="5"/>
  <c r="AT31" i="5"/>
  <c r="AJ16" i="5"/>
  <c r="AM34" i="20"/>
  <c r="AM30" i="20"/>
  <c r="A16" i="5"/>
  <c r="B17" i="5"/>
  <c r="C17" i="5"/>
  <c r="O14" i="20" l="1"/>
  <c r="E13" i="20"/>
  <c r="E12" i="20" s="1"/>
  <c r="E11" i="20" s="1"/>
  <c r="K11" i="5"/>
  <c r="AD17" i="5"/>
  <c r="AS27" i="5"/>
  <c r="W18" i="5"/>
  <c r="AK17" i="5"/>
  <c r="AT32" i="5"/>
  <c r="AM35" i="20"/>
  <c r="AM31" i="20"/>
  <c r="B16" i="5"/>
  <c r="C16" i="5"/>
  <c r="E10" i="20" l="1"/>
  <c r="O31" i="20"/>
  <c r="AS28" i="5"/>
  <c r="AS33" i="5"/>
  <c r="V16" i="5"/>
  <c r="AC15" i="5"/>
  <c r="AJ15" i="5"/>
  <c r="AU31" i="5"/>
  <c r="AN34" i="20"/>
  <c r="AN30" i="20"/>
  <c r="L16" i="5" l="1"/>
  <c r="AT27" i="5"/>
  <c r="W17" i="5"/>
  <c r="AD16" i="5"/>
  <c r="AK16" i="5"/>
  <c r="AU32" i="5"/>
  <c r="AN35" i="20"/>
  <c r="AN31" i="20"/>
  <c r="AT28" i="5" l="1"/>
  <c r="V15" i="5"/>
  <c r="AC14" i="5"/>
  <c r="AJ14" i="5"/>
  <c r="AV31" i="5"/>
  <c r="AO34" i="20"/>
  <c r="AO30" i="20"/>
  <c r="AD15" i="5" l="1"/>
  <c r="AU27" i="5"/>
  <c r="W16" i="5"/>
  <c r="AK15" i="5"/>
  <c r="AV32" i="5"/>
  <c r="AO35" i="20"/>
  <c r="AO31" i="20"/>
  <c r="AU28" i="5" l="1"/>
  <c r="AC13" i="5"/>
  <c r="AJ13" i="5"/>
  <c r="V14" i="5"/>
  <c r="AW31" i="5"/>
  <c r="AP34" i="20"/>
  <c r="AP30" i="20"/>
  <c r="AV27" i="5" l="1"/>
  <c r="AD14" i="5"/>
  <c r="W15" i="5"/>
  <c r="AK14" i="5"/>
  <c r="AW32" i="5"/>
  <c r="AP35" i="20"/>
  <c r="AQ30" i="20"/>
  <c r="AP31" i="20"/>
  <c r="AV28" i="5" l="1"/>
  <c r="V13" i="5"/>
  <c r="AJ12" i="5"/>
  <c r="AC12" i="5"/>
  <c r="AX31" i="5"/>
  <c r="AQ34" i="20"/>
  <c r="M31" i="20"/>
  <c r="AR30" i="20"/>
  <c r="W14" i="5" l="1"/>
  <c r="AD13" i="5"/>
  <c r="AW27" i="5"/>
  <c r="AK13" i="5"/>
  <c r="AX32" i="5"/>
  <c r="L31" i="20"/>
  <c r="AR34" i="20"/>
  <c r="AW28" i="5" l="1"/>
  <c r="AJ11" i="5"/>
  <c r="AC11" i="5"/>
  <c r="V12" i="5"/>
  <c r="AY31" i="5"/>
  <c r="AX27" i="5" l="1"/>
  <c r="W13" i="5"/>
  <c r="AK12" i="5"/>
  <c r="AD12" i="5"/>
  <c r="AY32" i="5"/>
  <c r="AX28" i="5" l="1"/>
  <c r="V11" i="5"/>
  <c r="AZ31" i="5"/>
  <c r="AD11" i="5" l="1"/>
  <c r="L11" i="5"/>
  <c r="AK11" i="5"/>
  <c r="AY27" i="5"/>
  <c r="W12" i="5"/>
  <c r="AZ32" i="5"/>
  <c r="AY28" i="5" l="1"/>
  <c r="BA31" i="5"/>
  <c r="AZ27" i="5" l="1"/>
  <c r="W11" i="5"/>
  <c r="K28" i="5"/>
  <c r="BB31" i="5"/>
  <c r="BA27" i="5" l="1"/>
  <c r="AZ28" i="5"/>
  <c r="BB27" i="5" l="1"/>
  <c r="L2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Ichinkhorloo.M</author>
  </authors>
  <commentList>
    <comment ref="N10" authorId="0" shapeId="0" xr:uid="{CE2B31B4-A146-435B-9C78-2E930A62D563}">
      <text>
        <r>
          <rPr>
            <b/>
            <sz val="9"/>
            <color indexed="81"/>
            <rFont val="Tahoma"/>
            <family val="2"/>
          </rPr>
          <t xml:space="preserve">Ichinkhorloo.M:
</t>
        </r>
        <r>
          <rPr>
            <sz val="9"/>
            <color indexed="81"/>
            <rFont val="Tahoma"/>
            <family val="2"/>
          </rPr>
          <t>7р сарын сүүл 8 сард орж ирэх үнэ</t>
        </r>
      </text>
    </comment>
    <comment ref="N19" authorId="0" shapeId="0" xr:uid="{6727AAD4-58A7-42CD-8EF5-B6C36C53EDB0}">
      <text>
        <r>
          <rPr>
            <b/>
            <sz val="9"/>
            <color indexed="81"/>
            <rFont val="Tahoma"/>
            <family val="2"/>
          </rPr>
          <t xml:space="preserve">Ichinkhorloo.M
</t>
        </r>
        <r>
          <rPr>
            <sz val="9"/>
            <color indexed="81"/>
            <rFont val="Tahoma"/>
            <family val="2"/>
          </rPr>
          <t xml:space="preserve">6.5нд нийлүүлэгчээс өгсөн үнэтэй таарсан 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124ED4-44CF-4C85-9C86-F8D35F414904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<sst xmlns="http://schemas.openxmlformats.org/spreadsheetml/2006/main" count="336" uniqueCount="135">
  <si>
    <t>OU</t>
  </si>
  <si>
    <t>Year</t>
  </si>
  <si>
    <t>Month</t>
  </si>
  <si>
    <t xml:space="preserve">HDAN </t>
  </si>
  <si>
    <t>PPAN</t>
  </si>
  <si>
    <t>Natural gas</t>
  </si>
  <si>
    <t>URALS Crude Oil</t>
  </si>
  <si>
    <t>Аммиак</t>
  </si>
  <si>
    <t>Азотын хүчил</t>
  </si>
  <si>
    <t>Азот (Бласт ХХК)</t>
  </si>
  <si>
    <t>Азот (Очир-Ундраа Групп)</t>
  </si>
  <si>
    <t>Азот (Спейшлмайнинг сервис)</t>
  </si>
  <si>
    <t>Уралхим (Спейшлмайнинг Сервис ХХК)</t>
  </si>
  <si>
    <t>Уралхим (Бест вестерн тех ХХК)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</si>
  <si>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</si>
  <si>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</si>
  <si>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</si>
  <si>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</si>
  <si>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</si>
  <si>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</si>
  <si>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</si>
  <si>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</si>
  <si>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</si>
  <si>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</si>
  <si>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</si>
  <si>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</si>
  <si>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</si>
  <si>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</si>
  <si>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</si>
  <si>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</si>
  <si>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</si>
  <si>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</si>
  <si>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 xml:space="preserve">#DIV/0! </t>
  </si>
  <si>
    <t xml:space="preserve"> #DIV/0! 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</si>
  <si>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</si>
  <si>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</si>
  <si>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</si>
  <si>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</si>
  <si>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</si>
  <si>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</si>
  <si>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</si>
  <si>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</si>
  <si>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</si>
  <si>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</si>
  <si>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</si>
  <si>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</si>
  <si>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</si>
  <si>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</si>
  <si>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</si>
  <si>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</si>
  <si>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</si>
  <si>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</si>
  <si>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</si>
  <si>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</si>
  <si>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</si>
  <si>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</si>
  <si>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</si>
  <si>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</si>
  <si>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</si>
  <si>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Регресс</t>
  </si>
  <si>
    <t>Slope</t>
  </si>
  <si>
    <t>Std Error</t>
  </si>
  <si>
    <t>R2</t>
  </si>
  <si>
    <t>F</t>
  </si>
  <si>
    <t>2 дохь үзүүлэлт 1 нэгжээр өсөхөд 1 дэхь үзүүлэлт slope хэмжээгээр өөрчлөгдөнө</t>
  </si>
  <si>
    <t>8%-иар бодит гэж таамаглана</t>
  </si>
  <si>
    <t>Үзүүлэлт 1-ийн хэлбэлзлийн зөвхөн R2 % нь URALS-аар тайлбарлагдана</t>
  </si>
  <si>
    <t>Корреляци</t>
  </si>
  <si>
    <t>Ammonia Nitrat</t>
  </si>
  <si>
    <t>date</t>
  </si>
  <si>
    <t>HDAN</t>
  </si>
  <si>
    <t>Baltic AN</t>
  </si>
  <si>
    <t>Ammonia</t>
  </si>
  <si>
    <t>Urea</t>
  </si>
  <si>
    <t>Natural_gas</t>
  </si>
  <si>
    <t xml:space="preserve"> Brent </t>
  </si>
  <si>
    <t>AN</t>
  </si>
  <si>
    <t>HDAN = 0.080991528041*HDAN(-1) + 0.303754553817*HDAN(-2) - 0.25338201366*AMMONIA(-1) + 0.269148503584*AMMONIA(-2) + 0.00378757678133*BALTIC_AN(-1) + 0.43547234846*BALTIC_AN(-2) - 12.2555082812*NATURAL_GAS(-1) + 15.7710625006*NATURAL_GAS(-2) + 0.517281394734*UREA(-1) - 0.299449478792*UREA(-2) - 3.00478655786</t>
  </si>
  <si>
    <t>3-р сар</t>
  </si>
  <si>
    <t>4-р сар</t>
  </si>
  <si>
    <t>6-р сар</t>
  </si>
  <si>
    <t>7-р сар</t>
  </si>
  <si>
    <t>Томъёоны үнэлгээ</t>
  </si>
  <si>
    <t>Тооцоолсон үнэлгээ</t>
  </si>
  <si>
    <t>hdan</t>
  </si>
  <si>
    <t>PPAN = 0.280558110643*PPAN(-1) + 0.15041224611*PPAN(-2) - 0.188812610795*AMMONIA(-1) + 0.259276330013*AMMONIA(-2) + 0.249001945549*BALTIC_AN(-1) - 0.0911542671384*BALTIC_AN(-2) - 11.8844751787*NATURAL_GAS(-1) + 5.64643067713*NATURAL_GAS(-2) + 0.185696475006*UREA(-1) + 0.247343345212*UREA(-2) - 3.75210437468</t>
  </si>
  <si>
    <t>PPAN = 0.128313602811*PPAN(-1) - 0.463209414397*PPAN(-2) + 0.379422553201*HDAN(-1) + 0.600579570329*HDAN(-2) + 0.515891500331*BALTIC_AN(-1) - 0.0731750301725*BALTIC_AN(-2) - 0.0618573337801*AMMONIA(-1) + 0.179051366468*AMMONIA(-2) + 0.173303170283*UREA(-1) - 0.143779748569*UREA(-2) - 9.81173830345*NATURAL_GAS(-1) + 1.28656399894*NATURAL_GAS(-2) + 3.13148084685</t>
  </si>
  <si>
    <t>ppan</t>
  </si>
  <si>
    <t>Current commodity price</t>
  </si>
  <si>
    <t>Monthly price</t>
  </si>
  <si>
    <t>Weekly %</t>
  </si>
  <si>
    <t>Monthly %</t>
  </si>
  <si>
    <t>Yearly %</t>
  </si>
  <si>
    <t>Date</t>
  </si>
  <si>
    <t xml:space="preserve">2026 оны 5-р сарын 29-ны өдрийн Bloomberg Terminal үнийн өөрчлөлт: 
Baltic AN 467.5$ өмнөх долоо хоногоос 6.5% бууралттай, өмнөх сараас 8.3% бууралттай, өмнөх мөн үеэс 122.6% өсөлттэй байна.  
Ammonia 800$ өмнөх долоо хоногоос 4.9% өсөлттэй, өмнөх сараас 8.9% өсөлттэй, өмнөх мөн үеэс 152.1% өсөлттэй байна. 
UREA 545$ өмнөх долоо хоногоос 6.4% бууралттай, өмнөх сараас 24% бууралттай, өмнөх мөн үеэс 53.5% өсөлттэй байна. 
Natural gas 3.03$ өмнөх долоо хоногоос 0.3% өсөлттэй, өмнөх сараас 16.1% өсөлттэй, өмнөх мөн үеэс 10.7% бууралттай байна. 
2026 оны 6-р сарын 5-ны өдрийн АН-ийн үнийн хамаарлын таамаглал PPAN: 670.92 HDAN:563.96 байна. 
PPAN 670.92$ өмнөх долоо хоногоос 2% бууралттай, өмнөх сараас 2.8% бууралттай, өмнөх мөн үеэс 110.7% өсөлттэй байна. 
HDAN 563.96$ өмнөх долоо хоногоос 3.9% бууралттай, өмнөх сараас 3.5% бууралттай, өмнөх мөн үеэс 82.9% өсөлттэй байна.  </t>
  </si>
  <si>
    <t>PPAN-f</t>
  </si>
  <si>
    <t>HDAN-f</t>
  </si>
  <si>
    <t>PPAN-r</t>
  </si>
  <si>
    <t>HDAN-r</t>
  </si>
  <si>
    <t>PPAN-saraar</t>
  </si>
  <si>
    <t>HDAN-saraar</t>
  </si>
  <si>
    <t>2026-4-31</t>
  </si>
  <si>
    <t>Corn</t>
  </si>
  <si>
    <t>Crude oil</t>
  </si>
  <si>
    <t xml:space="preserve">Baltic </t>
  </si>
  <si>
    <t>Nitric_acid</t>
  </si>
  <si>
    <t>NG, Bal</t>
  </si>
  <si>
    <t>ppan=0.489*ppan+0.009*(ng*12.44)+0.26(ng*21.91)</t>
  </si>
  <si>
    <t>hdan=0.04*(ng*12.44)+0.28(ng*21.91)</t>
  </si>
  <si>
    <t>ammonia=am*0.43749+ng*12.44</t>
  </si>
  <si>
    <t>Baltic=Bal*1.2837+ng*21.91308</t>
  </si>
  <si>
    <t>ppan=0.01*(ng*12.44)+0.26(ng*21.91)</t>
  </si>
  <si>
    <t>ppan=0.0299*(ng*12.44)+0.1655(ng*21.91)</t>
  </si>
  <si>
    <t>hdan=0.038*(ng*12.44)+0.13(ng*21.91)</t>
  </si>
  <si>
    <t>ammonia=(am-2)*0.2589+ng*(-30.567)</t>
  </si>
  <si>
    <t>Baltic=bal*(-0.507)+ng*(-9.71636)</t>
  </si>
  <si>
    <t>ppan=0.5464*hdan+0.0106*(ng*12.44)+0.2688*(ng*21.91)</t>
  </si>
  <si>
    <t>ppan=ppan-1*0.4893+ppan-2*0.15+amm-1*0.009+amm*0.0299+bal-1*0.2636+bal-2*0.165</t>
  </si>
  <si>
    <t>hdan=hdan-1*0.531+hdan-2*0.07+amm-1*0.04+amm-2*0.0389+bal-1*0.2813+bal-2*0.133</t>
  </si>
  <si>
    <t>amm=amm-1*0.4375+amm-2*0.2588+ng-1*12.44+ng-2*-30.56</t>
  </si>
  <si>
    <t>balt=bal-1*1.28+bal-2*-0.507+ng-1*21.91+ng-2*-9.716</t>
  </si>
  <si>
    <t>PPAN-ийг тайлбарлаж байгаа:</t>
  </si>
  <si>
    <r>
      <t>HDAN → PPAN</t>
    </r>
    <r>
      <rPr>
        <sz val="11"/>
        <color theme="1"/>
        <rFont val="Calibri"/>
        <family val="2"/>
        <scheme val="minor"/>
      </rPr>
      <t xml:space="preserve"> (p = 0.0126)</t>
    </r>
  </si>
  <si>
    <r>
      <t>AMMONIA → PPAN</t>
    </r>
    <r>
      <rPr>
        <sz val="11"/>
        <color theme="1"/>
        <rFont val="Calibri"/>
        <family val="2"/>
        <scheme val="minor"/>
      </rPr>
      <t xml:space="preserve"> (p = 0.0023)</t>
    </r>
  </si>
  <si>
    <r>
      <t>BALTIC_AN → PPAN</t>
    </r>
    <r>
      <rPr>
        <sz val="11"/>
        <color theme="1"/>
        <rFont val="Calibri"/>
        <family val="2"/>
        <scheme val="minor"/>
      </rPr>
      <t xml:space="preserve"> (p = 0.0002)</t>
    </r>
  </si>
  <si>
    <r>
      <t>NATURAL GAS → PPAN</t>
    </r>
    <r>
      <rPr>
        <sz val="11"/>
        <color theme="1"/>
        <rFont val="Calibri"/>
        <family val="2"/>
        <scheme val="minor"/>
      </rPr>
      <t xml:space="preserve"> (p = 0.0036)</t>
    </r>
  </si>
  <si>
    <r>
      <t>UREA → PPAN</t>
    </r>
    <r>
      <rPr>
        <sz val="11"/>
        <color theme="1"/>
        <rFont val="Calibri"/>
        <family val="2"/>
        <scheme val="minor"/>
      </rPr>
      <t xml:space="preserve"> (p = 0.0006)</t>
    </r>
  </si>
  <si>
    <t>Fertilizer market (urea, AN)</t>
  </si>
  <si>
    <t>Energy (natural gas)</t>
  </si>
  <si>
    <t>HDAN-ийг тайлбарлаж байгаа:</t>
  </si>
  <si>
    <t>AMMONIA → HDAN (p = 0.008)</t>
  </si>
  <si>
    <t>BALTIC_AN → HDAN (p ≈ 0.000)</t>
  </si>
  <si>
    <t>NATURAL GAS → HDAN (p = 0.0042)</t>
  </si>
  <si>
    <t>UREA → HDAN (p = 0.0028)</t>
  </si>
  <si>
    <t>LAG=2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</si>
</sst>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_(* #,##0.000_);_(* \(#,##0.000\);_(* &quot;-&quot;??_);_(@_)"/>
    <numFmt numFmtId="166" formatCode="_(* #,##0.0000_);_(* \(#,##0.0000\);_(* &quot;-&quot;??_);_(@_)"/>
    <numFmt numFmtId="167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7">
    <fill>
      <patternFill patternType="none"/>
    </fill>
    <fill>
      <patternFill patternType="gray125"/>
    </fill>
    <fill>
      <patternFill patternType="solid">
        <fgColor rgb="FF36BCB2"/>
        <bgColor rgb="FF000000"/>
      </patternFill>
    </fill>
    <fill>
      <patternFill patternType="solid">
        <fgColor rgb="FFFCF0F3"/>
        <bgColor rgb="FF000000"/>
      </patternFill>
    </fill>
    <fill>
      <patternFill patternType="solid">
        <fgColor rgb="FFFCECEF"/>
        <bgColor rgb="FF000000"/>
      </patternFill>
    </fill>
    <fill>
      <patternFill patternType="solid">
        <fgColor rgb="FFFCDBDE"/>
        <bgColor rgb="FF000000"/>
      </patternFill>
    </fill>
    <fill>
      <patternFill patternType="solid">
        <fgColor rgb="FFFAB3B5"/>
        <bgColor rgb="FF000000"/>
      </patternFill>
    </fill>
    <fill>
      <patternFill patternType="solid">
        <fgColor rgb="FFFCFCFF"/>
        <bgColor rgb="FF000000"/>
      </patternFill>
    </fill>
    <fill>
      <patternFill patternType="solid">
        <fgColor rgb="FFF6F7FC"/>
        <bgColor rgb="FF000000"/>
      </patternFill>
    </fill>
    <fill>
      <patternFill patternType="solid">
        <fgColor rgb="FFFCF7FA"/>
        <bgColor rgb="FF000000"/>
      </patternFill>
    </fill>
    <fill>
      <patternFill patternType="solid">
        <fgColor rgb="FFDFE7F4"/>
        <bgColor rgb="FF000000"/>
      </patternFill>
    </fill>
    <fill>
      <patternFill patternType="solid">
        <fgColor rgb="FFFCEEF0"/>
        <bgColor rgb="FF000000"/>
      </patternFill>
    </fill>
    <fill>
      <patternFill patternType="solid">
        <fgColor rgb="FFF5F7FC"/>
        <bgColor rgb="FF000000"/>
      </patternFill>
    </fill>
    <fill>
      <patternFill patternType="solid">
        <fgColor rgb="FFE5ECF7"/>
        <bgColor rgb="FF000000"/>
      </patternFill>
    </fill>
    <fill>
      <patternFill patternType="solid">
        <fgColor rgb="FFE7EDF7"/>
        <bgColor rgb="FF000000"/>
      </patternFill>
    </fill>
    <fill>
      <patternFill patternType="solid">
        <fgColor rgb="FFE2EAF6"/>
        <bgColor rgb="FF000000"/>
      </patternFill>
    </fill>
    <fill>
      <patternFill patternType="solid">
        <fgColor rgb="FFFCF5F8"/>
        <bgColor rgb="FF000000"/>
      </patternFill>
    </fill>
    <fill>
      <patternFill patternType="solid">
        <fgColor rgb="FFF8F9FD"/>
        <bgColor rgb="FF000000"/>
      </patternFill>
    </fill>
    <fill>
      <patternFill patternType="solid">
        <fgColor rgb="FFC6D6EC"/>
        <bgColor rgb="FF000000"/>
      </patternFill>
    </fill>
    <fill>
      <patternFill patternType="solid">
        <fgColor rgb="FFFCE2E4"/>
        <bgColor rgb="FF000000"/>
      </patternFill>
    </fill>
    <fill>
      <patternFill patternType="solid">
        <fgColor rgb="FFF9F9FD"/>
        <bgColor rgb="FF000000"/>
      </patternFill>
    </fill>
    <fill>
      <patternFill patternType="solid">
        <fgColor rgb="FFF2F5FB"/>
        <bgColor rgb="FF000000"/>
      </patternFill>
    </fill>
    <fill>
      <patternFill patternType="solid">
        <fgColor rgb="FFFBC2C4"/>
        <bgColor rgb="FF000000"/>
      </patternFill>
    </fill>
    <fill>
      <patternFill patternType="solid">
        <fgColor rgb="FFF8696B"/>
        <bgColor rgb="FF000000"/>
      </patternFill>
    </fill>
    <fill>
      <patternFill patternType="solid">
        <fgColor rgb="FFE0E8F5"/>
        <bgColor rgb="FF000000"/>
      </patternFill>
    </fill>
    <fill>
      <patternFill patternType="solid">
        <fgColor rgb="FFFCF9FC"/>
        <bgColor rgb="FF000000"/>
      </patternFill>
    </fill>
    <fill>
      <patternFill patternType="solid">
        <fgColor rgb="FFFCFBFE"/>
        <bgColor rgb="FF000000"/>
      </patternFill>
    </fill>
    <fill>
      <patternFill patternType="solid">
        <fgColor rgb="FFC9D8ED"/>
        <bgColor rgb="FF000000"/>
      </patternFill>
    </fill>
    <fill>
      <patternFill patternType="solid">
        <fgColor rgb="FFFCEBEE"/>
        <bgColor rgb="FF000000"/>
      </patternFill>
    </fill>
    <fill>
      <patternFill patternType="solid">
        <fgColor rgb="FFE6EDF7"/>
        <bgColor rgb="FF000000"/>
      </patternFill>
    </fill>
    <fill>
      <patternFill patternType="solid">
        <fgColor rgb="FFC3D4EB"/>
        <bgColor rgb="FF000000"/>
      </patternFill>
    </fill>
    <fill>
      <patternFill patternType="solid">
        <fgColor rgb="FFEFF2FA"/>
        <bgColor rgb="FF000000"/>
      </patternFill>
    </fill>
    <fill>
      <patternFill patternType="solid">
        <fgColor rgb="FFFCF8FB"/>
        <bgColor rgb="FF000000"/>
      </patternFill>
    </fill>
    <fill>
      <patternFill patternType="solid">
        <fgColor rgb="FFF7F8FD"/>
        <bgColor rgb="FF000000"/>
      </patternFill>
    </fill>
    <fill>
      <patternFill patternType="solid">
        <fgColor rgb="FFC4D5EB"/>
        <bgColor rgb="FF000000"/>
      </patternFill>
    </fill>
    <fill>
      <patternFill patternType="solid">
        <fgColor rgb="FFFCFAFD"/>
        <bgColor rgb="FF000000"/>
      </patternFill>
    </fill>
    <fill>
      <patternFill patternType="solid">
        <fgColor rgb="FFFCE1E4"/>
        <bgColor rgb="FF000000"/>
      </patternFill>
    </fill>
    <fill>
      <patternFill patternType="solid">
        <fgColor rgb="FFEDF2FA"/>
        <bgColor rgb="FF000000"/>
      </patternFill>
    </fill>
    <fill>
      <patternFill patternType="solid">
        <fgColor rgb="FFBBCEE8"/>
        <bgColor rgb="FF000000"/>
      </patternFill>
    </fill>
    <fill>
      <patternFill patternType="solid">
        <fgColor rgb="FFFAFAFE"/>
        <bgColor rgb="FF000000"/>
      </patternFill>
    </fill>
    <fill>
      <patternFill patternType="solid">
        <fgColor rgb="FFCFDCEF"/>
        <bgColor rgb="FF000000"/>
      </patternFill>
    </fill>
    <fill>
      <patternFill patternType="solid">
        <fgColor rgb="FFEAEFF8"/>
        <bgColor rgb="FF000000"/>
      </patternFill>
    </fill>
    <fill>
      <patternFill patternType="solid">
        <fgColor rgb="FFF6F8FD"/>
        <bgColor rgb="FF000000"/>
      </patternFill>
    </fill>
    <fill>
      <patternFill patternType="solid">
        <fgColor rgb="FFEFF3FA"/>
        <bgColor rgb="FF000000"/>
      </patternFill>
    </fill>
    <fill>
      <patternFill patternType="solid">
        <fgColor rgb="FFD2DEF0"/>
        <bgColor rgb="FF000000"/>
      </patternFill>
    </fill>
    <fill>
      <patternFill patternType="solid">
        <fgColor rgb="FFFAFBFE"/>
        <bgColor rgb="FF000000"/>
      </patternFill>
    </fill>
    <fill>
      <patternFill patternType="solid">
        <fgColor rgb="FFFBCBCD"/>
        <bgColor rgb="FF000000"/>
      </patternFill>
    </fill>
    <fill>
      <patternFill patternType="solid">
        <fgColor rgb="FFE1E9F5"/>
        <bgColor rgb="FF000000"/>
      </patternFill>
    </fill>
    <fill>
      <patternFill patternType="solid">
        <fgColor rgb="FFE3EAF6"/>
        <bgColor rgb="FF000000"/>
      </patternFill>
    </fill>
    <fill>
      <patternFill patternType="solid">
        <fgColor rgb="FFECF1F9"/>
        <bgColor rgb="FF000000"/>
      </patternFill>
    </fill>
    <fill>
      <patternFill patternType="solid">
        <fgColor rgb="FFFCE6E8"/>
        <bgColor rgb="FF000000"/>
      </patternFill>
    </fill>
    <fill>
      <patternFill patternType="solid">
        <fgColor rgb="FFF9FAFE"/>
        <bgColor rgb="FF000000"/>
      </patternFill>
    </fill>
    <fill>
      <patternFill patternType="solid">
        <fgColor rgb="FFFCE8EB"/>
        <bgColor rgb="FF000000"/>
      </patternFill>
    </fill>
    <fill>
      <patternFill patternType="solid">
        <fgColor rgb="FFFBB9BB"/>
        <bgColor rgb="FF000000"/>
      </patternFill>
    </fill>
    <fill>
      <patternFill patternType="solid">
        <fgColor rgb="FFDBE4F3"/>
        <bgColor rgb="FF000000"/>
      </patternFill>
    </fill>
    <fill>
      <patternFill patternType="solid">
        <fgColor rgb="FFFCF1F4"/>
        <bgColor rgb="FF000000"/>
      </patternFill>
    </fill>
    <fill>
      <patternFill patternType="solid">
        <fgColor rgb="FFFBBBBD"/>
        <bgColor rgb="FF000000"/>
      </patternFill>
    </fill>
    <fill>
      <patternFill patternType="solid">
        <fgColor rgb="FFFBD6D9"/>
        <bgColor rgb="FF000000"/>
      </patternFill>
    </fill>
    <fill>
      <patternFill patternType="solid">
        <fgColor rgb="FFEBF0F9"/>
        <bgColor rgb="FF000000"/>
      </patternFill>
    </fill>
    <fill>
      <patternFill patternType="solid">
        <fgColor rgb="FFFCEDF0"/>
        <bgColor rgb="FF000000"/>
      </patternFill>
    </fill>
    <fill>
      <patternFill patternType="solid">
        <fgColor rgb="FFFCE1E3"/>
        <bgColor rgb="FF000000"/>
      </patternFill>
    </fill>
    <fill>
      <patternFill patternType="solid">
        <fgColor rgb="FFFCDADD"/>
        <bgColor rgb="FF000000"/>
      </patternFill>
    </fill>
    <fill>
      <patternFill patternType="solid">
        <fgColor rgb="FFF1F4FB"/>
        <bgColor rgb="FF000000"/>
      </patternFill>
    </fill>
    <fill>
      <patternFill patternType="solid">
        <fgColor rgb="FFFBCDD0"/>
        <bgColor rgb="FF000000"/>
      </patternFill>
    </fill>
    <fill>
      <patternFill patternType="solid">
        <fgColor rgb="FFE8EEF8"/>
        <bgColor rgb="FF000000"/>
      </patternFill>
    </fill>
    <fill>
      <patternFill patternType="solid">
        <fgColor rgb="FFDBE5F3"/>
        <bgColor rgb="FF000000"/>
      </patternFill>
    </fill>
    <fill>
      <patternFill patternType="solid">
        <fgColor rgb="FFFCF6F9"/>
        <bgColor rgb="FF000000"/>
      </patternFill>
    </fill>
    <fill>
      <patternFill patternType="solid">
        <fgColor rgb="FFFCF4F7"/>
        <bgColor rgb="FF000000"/>
      </patternFill>
    </fill>
    <fill>
      <patternFill patternType="solid">
        <fgColor rgb="FFFCE6E9"/>
        <bgColor rgb="FF000000"/>
      </patternFill>
    </fill>
    <fill>
      <patternFill patternType="solid">
        <fgColor rgb="FFF4F6FC"/>
        <bgColor rgb="FF000000"/>
      </patternFill>
    </fill>
    <fill>
      <patternFill patternType="solid">
        <fgColor rgb="FFEEF2FA"/>
        <bgColor rgb="FF000000"/>
      </patternFill>
    </fill>
    <fill>
      <patternFill patternType="solid">
        <fgColor rgb="FFFCF7F9"/>
        <bgColor rgb="FF000000"/>
      </patternFill>
    </fill>
    <fill>
      <patternFill patternType="solid">
        <fgColor rgb="FFF3F6FC"/>
        <bgColor rgb="FF000000"/>
      </patternFill>
    </fill>
    <fill>
      <patternFill patternType="solid">
        <fgColor rgb="FFFBD5D7"/>
        <bgColor rgb="FF000000"/>
      </patternFill>
    </fill>
    <fill>
      <patternFill patternType="solid">
        <fgColor rgb="FFF0F4FB"/>
        <bgColor rgb="FF000000"/>
      </patternFill>
    </fill>
    <fill>
      <patternFill patternType="solid">
        <fgColor rgb="FFE6ECF7"/>
        <bgColor rgb="FF000000"/>
      </patternFill>
    </fill>
    <fill>
      <patternFill patternType="solid">
        <fgColor rgb="FFEDF1F9"/>
        <bgColor rgb="FF000000"/>
      </patternFill>
    </fill>
    <fill>
      <patternFill patternType="solid">
        <fgColor rgb="FFFCE4E7"/>
        <bgColor rgb="FF000000"/>
      </patternFill>
    </fill>
    <fill>
      <patternFill patternType="solid">
        <fgColor rgb="FFFBD1D4"/>
        <bgColor rgb="FF000000"/>
      </patternFill>
    </fill>
    <fill>
      <patternFill patternType="solid">
        <fgColor rgb="FFE9EEF8"/>
        <bgColor rgb="FF000000"/>
      </patternFill>
    </fill>
    <fill>
      <patternFill patternType="solid">
        <fgColor rgb="FFF3F5FB"/>
        <bgColor rgb="FF000000"/>
      </patternFill>
    </fill>
    <fill>
      <patternFill patternType="solid">
        <fgColor rgb="FFFCF2F5"/>
        <bgColor rgb="FF000000"/>
      </patternFill>
    </fill>
    <fill>
      <patternFill patternType="solid">
        <fgColor rgb="FFFCE5E8"/>
        <bgColor rgb="FF000000"/>
      </patternFill>
    </fill>
    <fill>
      <patternFill patternType="solid">
        <fgColor rgb="FFFCE7EA"/>
        <bgColor rgb="FF000000"/>
      </patternFill>
    </fill>
    <fill>
      <patternFill patternType="solid">
        <fgColor rgb="FFFCEFF2"/>
        <bgColor rgb="FF000000"/>
      </patternFill>
    </fill>
    <fill>
      <patternFill patternType="solid">
        <fgColor rgb="FFFCF3F6"/>
        <bgColor rgb="FF000000"/>
      </patternFill>
    </fill>
    <fill>
      <patternFill patternType="solid">
        <fgColor rgb="FFFBFBFE"/>
        <bgColor rgb="FF000000"/>
      </patternFill>
    </fill>
    <fill>
      <patternFill patternType="solid">
        <fgColor rgb="FFD5E1F1"/>
        <bgColor rgb="FF000000"/>
      </patternFill>
    </fill>
    <fill>
      <patternFill patternType="solid">
        <fgColor rgb="FFFCE3E6"/>
        <bgColor rgb="FF000000"/>
      </patternFill>
    </fill>
    <fill>
      <patternFill patternType="solid">
        <fgColor rgb="FFD8E2F2"/>
        <bgColor rgb="FF000000"/>
      </patternFill>
    </fill>
    <fill>
      <patternFill patternType="solid">
        <fgColor rgb="FFE9EFF8"/>
        <bgColor rgb="FF000000"/>
      </patternFill>
    </fill>
    <fill>
      <patternFill patternType="solid">
        <fgColor rgb="FFE4EBF6"/>
        <bgColor rgb="FF000000"/>
      </patternFill>
    </fill>
    <fill>
      <patternFill patternType="solid">
        <fgColor rgb="FFFCE0E3"/>
        <bgColor rgb="FF000000"/>
      </patternFill>
    </fill>
    <fill>
      <patternFill patternType="solid">
        <fgColor rgb="FFF98082"/>
        <bgColor rgb="FF000000"/>
      </patternFill>
    </fill>
    <fill>
      <patternFill patternType="solid">
        <fgColor rgb="FFF0F3FA"/>
        <bgColor rgb="FF000000"/>
      </patternFill>
    </fill>
    <fill>
      <patternFill patternType="solid">
        <fgColor rgb="FFBACEE8"/>
        <bgColor rgb="FF000000"/>
      </patternFill>
    </fill>
    <fill>
      <patternFill patternType="solid">
        <fgColor rgb="FFDEE7F4"/>
        <bgColor rgb="FF000000"/>
      </patternFill>
    </fill>
    <fill>
      <patternFill patternType="solid">
        <fgColor rgb="FFBED0E9"/>
        <bgColor rgb="FF000000"/>
      </patternFill>
    </fill>
    <fill>
      <patternFill patternType="solid">
        <fgColor rgb="FFFCDCDF"/>
        <bgColor rgb="FF000000"/>
      </patternFill>
    </fill>
    <fill>
      <patternFill patternType="solid">
        <fgColor rgb="FFFCE7E9"/>
        <bgColor rgb="FF000000"/>
      </patternFill>
    </fill>
    <fill>
      <patternFill patternType="solid">
        <fgColor rgb="FFFCFCFE"/>
        <bgColor rgb="FF000000"/>
      </patternFill>
    </fill>
    <fill>
      <patternFill patternType="solid">
        <fgColor rgb="FFFCDFE1"/>
        <bgColor rgb="FF000000"/>
      </patternFill>
    </fill>
    <fill>
      <patternFill patternType="solid">
        <fgColor rgb="FFFBD4D7"/>
        <bgColor rgb="FF000000"/>
      </patternFill>
    </fill>
    <fill>
      <patternFill patternType="solid">
        <fgColor rgb="FFFCEEF1"/>
        <bgColor rgb="FF000000"/>
      </patternFill>
    </fill>
    <fill>
      <patternFill patternType="solid">
        <fgColor rgb="FF5A8AC6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F9B0B2"/>
        <bgColor rgb="FF000000"/>
      </patternFill>
    </fill>
    <fill>
      <patternFill patternType="solid">
        <fgColor rgb="FFF9999B"/>
        <bgColor rgb="FF000000"/>
      </patternFill>
    </fill>
    <fill>
      <patternFill patternType="solid">
        <fgColor rgb="FFFBDBDE"/>
        <bgColor rgb="FF000000"/>
      </patternFill>
    </fill>
    <fill>
      <patternFill patternType="solid">
        <fgColor rgb="FFFAD4D7"/>
        <bgColor rgb="FF000000"/>
      </patternFill>
    </fill>
    <fill>
      <patternFill patternType="solid">
        <fgColor rgb="FFFBDEE0"/>
        <bgColor rgb="FF000000"/>
      </patternFill>
    </fill>
    <fill>
      <patternFill patternType="solid">
        <fgColor rgb="FFFBE2E5"/>
        <bgColor rgb="FF000000"/>
      </patternFill>
    </fill>
    <fill>
      <patternFill patternType="solid">
        <fgColor rgb="FFFBDFE1"/>
        <bgColor rgb="FF000000"/>
      </patternFill>
    </fill>
    <fill>
      <patternFill patternType="solid">
        <fgColor rgb="FFA3D8B3"/>
        <bgColor rgb="FF000000"/>
      </patternFill>
    </fill>
    <fill>
      <patternFill patternType="solid">
        <fgColor rgb="FFB1DEBF"/>
        <bgColor rgb="FF000000"/>
      </patternFill>
    </fill>
    <fill>
      <patternFill patternType="solid">
        <fgColor rgb="FFAFDDBC"/>
        <bgColor rgb="FF000000"/>
      </patternFill>
    </fill>
    <fill>
      <patternFill patternType="solid">
        <fgColor rgb="FFC1E4CC"/>
        <bgColor rgb="FF000000"/>
      </patternFill>
    </fill>
    <fill>
      <patternFill patternType="solid">
        <fgColor rgb="FFBEE3CA"/>
        <bgColor rgb="FF000000"/>
      </patternFill>
    </fill>
    <fill>
      <patternFill patternType="solid">
        <fgColor rgb="FF71C487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2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/>
    <xf numFmtId="0" fontId="1" fillId="2" borderId="0" xfId="0" applyFont="1" applyFill="1"/>
    <xf numFmtId="3" fontId="1" fillId="0" borderId="0" xfId="0" applyNumberFormat="1" applyFont="1"/>
    <xf numFmtId="9" fontId="1" fillId="3" borderId="0" xfId="0" applyNumberFormat="1" applyFont="1" applyFill="1"/>
    <xf numFmtId="9" fontId="1" fillId="4" borderId="0" xfId="0" applyNumberFormat="1" applyFont="1" applyFill="1"/>
    <xf numFmtId="9" fontId="1" fillId="5" borderId="0" xfId="0" applyNumberFormat="1" applyFont="1" applyFill="1"/>
    <xf numFmtId="9" fontId="1" fillId="6" borderId="0" xfId="0" applyNumberFormat="1" applyFont="1" applyFill="1"/>
    <xf numFmtId="9" fontId="1" fillId="7" borderId="0" xfId="0" applyNumberFormat="1" applyFont="1" applyFill="1"/>
    <xf numFmtId="9" fontId="1" fillId="8" borderId="0" xfId="0" applyNumberFormat="1" applyFont="1" applyFill="1"/>
    <xf numFmtId="9" fontId="1" fillId="9" borderId="0" xfId="0" applyNumberFormat="1" applyFont="1" applyFill="1"/>
    <xf numFmtId="9" fontId="1" fillId="10" borderId="0" xfId="0" applyNumberFormat="1" applyFont="1" applyFill="1"/>
    <xf numFmtId="9" fontId="1" fillId="11" borderId="0" xfId="0" applyNumberFormat="1" applyFont="1" applyFill="1"/>
    <xf numFmtId="9" fontId="1" fillId="12" borderId="0" xfId="0" applyNumberFormat="1" applyFont="1" applyFill="1"/>
    <xf numFmtId="9" fontId="1" fillId="13" borderId="0" xfId="0" applyNumberFormat="1" applyFont="1" applyFill="1"/>
    <xf numFmtId="9" fontId="1" fillId="14" borderId="0" xfId="0" applyNumberFormat="1" applyFont="1" applyFill="1"/>
    <xf numFmtId="9" fontId="1" fillId="15" borderId="0" xfId="0" applyNumberFormat="1" applyFont="1" applyFill="1"/>
    <xf numFmtId="9" fontId="1" fillId="16" borderId="0" xfId="0" applyNumberFormat="1" applyFont="1" applyFill="1"/>
    <xf numFmtId="9" fontId="1" fillId="17" borderId="0" xfId="0" applyNumberFormat="1" applyFont="1" applyFill="1"/>
    <xf numFmtId="9" fontId="1" fillId="18" borderId="0" xfId="0" applyNumberFormat="1" applyFont="1" applyFill="1"/>
    <xf numFmtId="9" fontId="1" fillId="19" borderId="0" xfId="0" applyNumberFormat="1" applyFont="1" applyFill="1"/>
    <xf numFmtId="9" fontId="1" fillId="20" borderId="0" xfId="0" applyNumberFormat="1" applyFont="1" applyFill="1"/>
    <xf numFmtId="9" fontId="1" fillId="21" borderId="0" xfId="0" applyNumberFormat="1" applyFont="1" applyFill="1"/>
    <xf numFmtId="9" fontId="1" fillId="22" borderId="0" xfId="0" applyNumberFormat="1" applyFont="1" applyFill="1"/>
    <xf numFmtId="9" fontId="1" fillId="23" borderId="0" xfId="0" applyNumberFormat="1" applyFont="1" applyFill="1"/>
    <xf numFmtId="9" fontId="1" fillId="24" borderId="0" xfId="0" applyNumberFormat="1" applyFont="1" applyFill="1"/>
    <xf numFmtId="9" fontId="1" fillId="25" borderId="0" xfId="0" applyNumberFormat="1" applyFont="1" applyFill="1"/>
    <xf numFmtId="9" fontId="1" fillId="26" borderId="0" xfId="0" applyNumberFormat="1" applyFont="1" applyFill="1"/>
    <xf numFmtId="9" fontId="1" fillId="27" borderId="0" xfId="0" applyNumberFormat="1" applyFont="1" applyFill="1"/>
    <xf numFmtId="9" fontId="1" fillId="28" borderId="0" xfId="0" applyNumberFormat="1" applyFont="1" applyFill="1"/>
    <xf numFmtId="9" fontId="1" fillId="29" borderId="0" xfId="0" applyNumberFormat="1" applyFont="1" applyFill="1"/>
    <xf numFmtId="9" fontId="1" fillId="30" borderId="0" xfId="0" applyNumberFormat="1" applyFont="1" applyFill="1"/>
    <xf numFmtId="9" fontId="1" fillId="31" borderId="0" xfId="0" applyNumberFormat="1" applyFont="1" applyFill="1"/>
    <xf numFmtId="9" fontId="1" fillId="32" borderId="0" xfId="0" applyNumberFormat="1" applyFont="1" applyFill="1"/>
    <xf numFmtId="9" fontId="1" fillId="33" borderId="0" xfId="0" applyNumberFormat="1" applyFont="1" applyFill="1"/>
    <xf numFmtId="9" fontId="1" fillId="34" borderId="0" xfId="0" applyNumberFormat="1" applyFont="1" applyFill="1"/>
    <xf numFmtId="9" fontId="1" fillId="35" borderId="0" xfId="0" applyNumberFormat="1" applyFont="1" applyFill="1"/>
    <xf numFmtId="9" fontId="1" fillId="36" borderId="0" xfId="0" applyNumberFormat="1" applyFont="1" applyFill="1"/>
    <xf numFmtId="9" fontId="1" fillId="37" borderId="0" xfId="0" applyNumberFormat="1" applyFont="1" applyFill="1"/>
    <xf numFmtId="9" fontId="1" fillId="38" borderId="0" xfId="0" applyNumberFormat="1" applyFont="1" applyFill="1"/>
    <xf numFmtId="9" fontId="1" fillId="39" borderId="0" xfId="0" applyNumberFormat="1" applyFont="1" applyFill="1"/>
    <xf numFmtId="9" fontId="1" fillId="40" borderId="0" xfId="0" applyNumberFormat="1" applyFont="1" applyFill="1"/>
    <xf numFmtId="9" fontId="1" fillId="41" borderId="0" xfId="0" applyNumberFormat="1" applyFont="1" applyFill="1"/>
    <xf numFmtId="9" fontId="1" fillId="42" borderId="0" xfId="0" applyNumberFormat="1" applyFont="1" applyFill="1"/>
    <xf numFmtId="9" fontId="1" fillId="43" borderId="0" xfId="0" applyNumberFormat="1" applyFont="1" applyFill="1"/>
    <xf numFmtId="9" fontId="1" fillId="44" borderId="0" xfId="0" applyNumberFormat="1" applyFont="1" applyFill="1"/>
    <xf numFmtId="9" fontId="1" fillId="45" borderId="0" xfId="0" applyNumberFormat="1" applyFont="1" applyFill="1"/>
    <xf numFmtId="9" fontId="1" fillId="46" borderId="0" xfId="0" applyNumberFormat="1" applyFont="1" applyFill="1"/>
    <xf numFmtId="9" fontId="1" fillId="47" borderId="0" xfId="0" applyNumberFormat="1" applyFont="1" applyFill="1"/>
    <xf numFmtId="9" fontId="1" fillId="48" borderId="0" xfId="0" applyNumberFormat="1" applyFont="1" applyFill="1"/>
    <xf numFmtId="9" fontId="1" fillId="49" borderId="0" xfId="0" applyNumberFormat="1" applyFont="1" applyFill="1"/>
    <xf numFmtId="9" fontId="1" fillId="50" borderId="0" xfId="0" applyNumberFormat="1" applyFont="1" applyFill="1"/>
    <xf numFmtId="9" fontId="1" fillId="51" borderId="0" xfId="0" applyNumberFormat="1" applyFont="1" applyFill="1"/>
    <xf numFmtId="9" fontId="1" fillId="52" borderId="0" xfId="0" applyNumberFormat="1" applyFont="1" applyFill="1"/>
    <xf numFmtId="9" fontId="1" fillId="53" borderId="0" xfId="0" applyNumberFormat="1" applyFont="1" applyFill="1"/>
    <xf numFmtId="9" fontId="1" fillId="54" borderId="0" xfId="0" applyNumberFormat="1" applyFont="1" applyFill="1"/>
    <xf numFmtId="9" fontId="1" fillId="55" borderId="0" xfId="0" applyNumberFormat="1" applyFont="1" applyFill="1"/>
    <xf numFmtId="9" fontId="1" fillId="56" borderId="0" xfId="0" applyNumberFormat="1" applyFont="1" applyFill="1"/>
    <xf numFmtId="9" fontId="1" fillId="57" borderId="0" xfId="0" applyNumberFormat="1" applyFont="1" applyFill="1"/>
    <xf numFmtId="9" fontId="1" fillId="58" borderId="0" xfId="0" applyNumberFormat="1" applyFont="1" applyFill="1"/>
    <xf numFmtId="9" fontId="1" fillId="59" borderId="0" xfId="0" applyNumberFormat="1" applyFont="1" applyFill="1"/>
    <xf numFmtId="9" fontId="1" fillId="60" borderId="0" xfId="0" applyNumberFormat="1" applyFont="1" applyFill="1"/>
    <xf numFmtId="9" fontId="1" fillId="61" borderId="0" xfId="0" applyNumberFormat="1" applyFont="1" applyFill="1"/>
    <xf numFmtId="9" fontId="1" fillId="62" borderId="0" xfId="0" applyNumberFormat="1" applyFont="1" applyFill="1"/>
    <xf numFmtId="9" fontId="1" fillId="63" borderId="0" xfId="0" applyNumberFormat="1" applyFont="1" applyFill="1"/>
    <xf numFmtId="9" fontId="1" fillId="64" borderId="0" xfId="0" applyNumberFormat="1" applyFont="1" applyFill="1"/>
    <xf numFmtId="9" fontId="1" fillId="65" borderId="0" xfId="0" applyNumberFormat="1" applyFont="1" applyFill="1"/>
    <xf numFmtId="9" fontId="1" fillId="66" borderId="0" xfId="0" applyNumberFormat="1" applyFont="1" applyFill="1"/>
    <xf numFmtId="9" fontId="1" fillId="67" borderId="0" xfId="0" applyNumberFormat="1" applyFont="1" applyFill="1"/>
    <xf numFmtId="9" fontId="1" fillId="68" borderId="0" xfId="0" applyNumberFormat="1" applyFont="1" applyFill="1"/>
    <xf numFmtId="9" fontId="1" fillId="69" borderId="0" xfId="0" applyNumberFormat="1" applyFont="1" applyFill="1"/>
    <xf numFmtId="9" fontId="1" fillId="70" borderId="0" xfId="0" applyNumberFormat="1" applyFont="1" applyFill="1"/>
    <xf numFmtId="9" fontId="1" fillId="71" borderId="0" xfId="0" applyNumberFormat="1" applyFont="1" applyFill="1"/>
    <xf numFmtId="9" fontId="1" fillId="72" borderId="0" xfId="0" applyNumberFormat="1" applyFont="1" applyFill="1"/>
    <xf numFmtId="9" fontId="1" fillId="73" borderId="0" xfId="0" applyNumberFormat="1" applyFont="1" applyFill="1"/>
    <xf numFmtId="9" fontId="1" fillId="74" borderId="0" xfId="0" applyNumberFormat="1" applyFont="1" applyFill="1"/>
    <xf numFmtId="9" fontId="1" fillId="75" borderId="0" xfId="0" applyNumberFormat="1" applyFont="1" applyFill="1"/>
    <xf numFmtId="9" fontId="1" fillId="76" borderId="0" xfId="0" applyNumberFormat="1" applyFont="1" applyFill="1"/>
    <xf numFmtId="9" fontId="1" fillId="77" borderId="0" xfId="0" applyNumberFormat="1" applyFont="1" applyFill="1"/>
    <xf numFmtId="9" fontId="1" fillId="78" borderId="0" xfId="0" applyNumberFormat="1" applyFont="1" applyFill="1"/>
    <xf numFmtId="9" fontId="1" fillId="79" borderId="0" xfId="0" applyNumberFormat="1" applyFont="1" applyFill="1"/>
    <xf numFmtId="9" fontId="1" fillId="80" borderId="0" xfId="0" applyNumberFormat="1" applyFont="1" applyFill="1"/>
    <xf numFmtId="9" fontId="1" fillId="81" borderId="0" xfId="0" applyNumberFormat="1" applyFont="1" applyFill="1"/>
    <xf numFmtId="9" fontId="1" fillId="82" borderId="0" xfId="0" applyNumberFormat="1" applyFont="1" applyFill="1"/>
    <xf numFmtId="9" fontId="1" fillId="83" borderId="0" xfId="0" applyNumberFormat="1" applyFont="1" applyFill="1"/>
    <xf numFmtId="9" fontId="1" fillId="84" borderId="0" xfId="0" applyNumberFormat="1" applyFont="1" applyFill="1"/>
    <xf numFmtId="9" fontId="1" fillId="85" borderId="0" xfId="0" applyNumberFormat="1" applyFont="1" applyFill="1"/>
    <xf numFmtId="9" fontId="1" fillId="86" borderId="0" xfId="0" applyNumberFormat="1" applyFont="1" applyFill="1"/>
    <xf numFmtId="9" fontId="1" fillId="87" borderId="0" xfId="0" applyNumberFormat="1" applyFont="1" applyFill="1"/>
    <xf numFmtId="9" fontId="1" fillId="88" borderId="0" xfId="0" applyNumberFormat="1" applyFont="1" applyFill="1"/>
    <xf numFmtId="9" fontId="1" fillId="89" borderId="0" xfId="0" applyNumberFormat="1" applyFont="1" applyFill="1"/>
    <xf numFmtId="9" fontId="1" fillId="90" borderId="0" xfId="0" applyNumberFormat="1" applyFont="1" applyFill="1"/>
    <xf numFmtId="9" fontId="1" fillId="91" borderId="0" xfId="0" applyNumberFormat="1" applyFont="1" applyFill="1"/>
    <xf numFmtId="9" fontId="1" fillId="92" borderId="0" xfId="0" applyNumberFormat="1" applyFont="1" applyFill="1"/>
    <xf numFmtId="9" fontId="1" fillId="93" borderId="0" xfId="0" applyNumberFormat="1" applyFont="1" applyFill="1"/>
    <xf numFmtId="9" fontId="1" fillId="94" borderId="0" xfId="0" applyNumberFormat="1" applyFont="1" applyFill="1"/>
    <xf numFmtId="9" fontId="1" fillId="95" borderId="0" xfId="0" applyNumberFormat="1" applyFont="1" applyFill="1"/>
    <xf numFmtId="9" fontId="1" fillId="96" borderId="0" xfId="0" applyNumberFormat="1" applyFont="1" applyFill="1"/>
    <xf numFmtId="9" fontId="1" fillId="97" borderId="0" xfId="0" applyNumberFormat="1" applyFont="1" applyFill="1"/>
    <xf numFmtId="9" fontId="1" fillId="98" borderId="0" xfId="0" applyNumberFormat="1" applyFont="1" applyFill="1"/>
    <xf numFmtId="9" fontId="1" fillId="99" borderId="0" xfId="0" applyNumberFormat="1" applyFont="1" applyFill="1"/>
    <xf numFmtId="9" fontId="1" fillId="100" borderId="0" xfId="0" applyNumberFormat="1" applyFont="1" applyFill="1"/>
    <xf numFmtId="9" fontId="1" fillId="101" borderId="0" xfId="0" applyNumberFormat="1" applyFont="1" applyFill="1"/>
    <xf numFmtId="9" fontId="1" fillId="102" borderId="0" xfId="0" applyNumberFormat="1" applyFont="1" applyFill="1"/>
    <xf numFmtId="9" fontId="1" fillId="103" borderId="0" xfId="0" applyNumberFormat="1" applyFont="1" applyFill="1"/>
    <xf numFmtId="9" fontId="1" fillId="104" borderId="0" xfId="0" applyNumberFormat="1" applyFont="1" applyFill="1"/>
    <xf numFmtId="9" fontId="1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105" borderId="0" xfId="0" applyFont="1" applyFill="1"/>
    <xf numFmtId="0" fontId="1" fillId="23" borderId="0" xfId="0" applyFont="1" applyFill="1"/>
    <xf numFmtId="0" fontId="1" fillId="106" borderId="0" xfId="0" applyFont="1" applyFill="1"/>
    <xf numFmtId="0" fontId="1" fillId="107" borderId="0" xfId="0" applyFont="1" applyFill="1"/>
    <xf numFmtId="0" fontId="1" fillId="108" borderId="0" xfId="0" applyFont="1" applyFill="1"/>
    <xf numFmtId="0" fontId="1" fillId="109" borderId="0" xfId="0" applyFont="1" applyFill="1"/>
    <xf numFmtId="0" fontId="1" fillId="110" borderId="0" xfId="0" applyFont="1" applyFill="1"/>
    <xf numFmtId="0" fontId="1" fillId="7" borderId="0" xfId="0" applyFont="1" applyFill="1"/>
    <xf numFmtId="0" fontId="1" fillId="111" borderId="0" xfId="0" applyFont="1" applyFill="1"/>
    <xf numFmtId="0" fontId="1" fillId="112" borderId="0" xfId="0" applyFont="1" applyFill="1"/>
    <xf numFmtId="0" fontId="1" fillId="113" borderId="0" xfId="0" applyFont="1" applyFill="1"/>
    <xf numFmtId="0" fontId="1" fillId="114" borderId="0" xfId="0" applyFont="1" applyFill="1"/>
    <xf numFmtId="0" fontId="1" fillId="115" borderId="0" xfId="0" applyFont="1" applyFill="1"/>
    <xf numFmtId="0" fontId="1" fillId="116" borderId="0" xfId="0" applyFont="1" applyFill="1"/>
    <xf numFmtId="0" fontId="1" fillId="117" borderId="0" xfId="0" applyFont="1" applyFill="1"/>
    <xf numFmtId="0" fontId="1" fillId="118" borderId="0" xfId="0" applyFont="1" applyFill="1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43" fontId="0" fillId="0" borderId="0" xfId="1" applyFont="1"/>
    <xf numFmtId="43" fontId="0" fillId="0" borderId="0" xfId="1" applyFont="1" applyAlignment="1">
      <alignment wrapText="1"/>
    </xf>
    <xf numFmtId="43" fontId="1" fillId="0" borderId="0" xfId="1" applyFont="1" applyAlignment="1">
      <alignment horizontal="center" wrapText="1"/>
    </xf>
    <xf numFmtId="43" fontId="1" fillId="0" borderId="0" xfId="1" applyFont="1" applyAlignment="1">
      <alignment horizontal="center"/>
    </xf>
    <xf numFmtId="43" fontId="1" fillId="0" borderId="0" xfId="1" applyFont="1"/>
    <xf numFmtId="43" fontId="0" fillId="0" borderId="0" xfId="0" applyNumberFormat="1"/>
    <xf numFmtId="14" fontId="0" fillId="0" borderId="0" xfId="0" applyNumberFormat="1"/>
    <xf numFmtId="164" fontId="0" fillId="0" borderId="0" xfId="2" applyNumberFormat="1" applyFont="1"/>
    <xf numFmtId="0" fontId="5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43" fontId="0" fillId="0" borderId="0" xfId="0" applyNumberFormat="1" applyAlignment="1">
      <alignment wrapText="1"/>
    </xf>
    <xf numFmtId="167" fontId="0" fillId="0" borderId="0" xfId="1" applyNumberFormat="1" applyFont="1"/>
    <xf numFmtId="165" fontId="0" fillId="0" borderId="0" xfId="1" applyNumberFormat="1" applyFont="1"/>
    <xf numFmtId="166" fontId="0" fillId="0" borderId="1" xfId="1" applyNumberFormat="1" applyFont="1" applyFill="1" applyBorder="1" applyAlignment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7" xfId="0" applyBorder="1"/>
    <xf numFmtId="166" fontId="0" fillId="0" borderId="8" xfId="1" applyNumberFormat="1" applyFont="1" applyFill="1" applyBorder="1" applyAlignment="1"/>
    <xf numFmtId="0" fontId="0" fillId="0" borderId="3" xfId="0" applyBorder="1"/>
    <xf numFmtId="166" fontId="0" fillId="0" borderId="9" xfId="1" applyNumberFormat="1" applyFont="1" applyFill="1" applyBorder="1" applyAlignment="1"/>
    <xf numFmtId="166" fontId="0" fillId="0" borderId="2" xfId="1" applyNumberFormat="1" applyFont="1" applyFill="1" applyBorder="1" applyAlignment="1"/>
    <xf numFmtId="9" fontId="0" fillId="0" borderId="0" xfId="2" applyFont="1"/>
    <xf numFmtId="0" fontId="0" fillId="0" borderId="0" xfId="0" applyAlignment="1">
      <alignment horizontal="center" vertical="center" wrapText="1"/>
    </xf>
    <xf numFmtId="16" fontId="0" fillId="0" borderId="0" xfId="0" applyNumberFormat="1"/>
    <xf numFmtId="0" fontId="0" fillId="0" borderId="0" xfId="0" applyAlignment="1">
      <alignment vertical="center" wrapText="1"/>
    </xf>
    <xf numFmtId="164" fontId="0" fillId="0" borderId="0" xfId="2" applyNumberFormat="1" applyFont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126" borderId="10" xfId="0" applyFill="1" applyBorder="1" applyAlignment="1">
      <alignment horizontal="center"/>
    </xf>
    <xf numFmtId="43" fontId="0" fillId="126" borderId="10" xfId="1" applyFont="1" applyFill="1" applyBorder="1" applyAlignment="1">
      <alignment horizontal="center"/>
    </xf>
    <xf numFmtId="0" fontId="0" fillId="119" borderId="10" xfId="0" applyFill="1" applyBorder="1" applyAlignment="1">
      <alignment horizontal="center"/>
    </xf>
    <xf numFmtId="43" fontId="0" fillId="119" borderId="10" xfId="1" applyFont="1" applyFill="1" applyBorder="1" applyAlignment="1">
      <alignment horizontal="center"/>
    </xf>
    <xf numFmtId="164" fontId="0" fillId="120" borderId="10" xfId="2" applyNumberFormat="1" applyFont="1" applyFill="1" applyBorder="1" applyAlignment="1">
      <alignment horizontal="center"/>
    </xf>
    <xf numFmtId="0" fontId="0" fillId="120" borderId="10" xfId="0" applyFill="1" applyBorder="1" applyAlignment="1">
      <alignment horizontal="center"/>
    </xf>
    <xf numFmtId="164" fontId="0" fillId="121" borderId="10" xfId="2" applyNumberFormat="1" applyFont="1" applyFill="1" applyBorder="1" applyAlignment="1">
      <alignment horizontal="center"/>
    </xf>
    <xf numFmtId="0" fontId="0" fillId="121" borderId="10" xfId="0" applyFill="1" applyBorder="1" applyAlignment="1">
      <alignment horizontal="center"/>
    </xf>
    <xf numFmtId="14" fontId="0" fillId="0" borderId="10" xfId="0" applyNumberFormat="1" applyBorder="1"/>
    <xf numFmtId="43" fontId="0" fillId="0" borderId="10" xfId="1" applyFont="1" applyBorder="1"/>
    <xf numFmtId="164" fontId="0" fillId="0" borderId="10" xfId="2" applyNumberFormat="1" applyFont="1" applyBorder="1"/>
    <xf numFmtId="164" fontId="0" fillId="0" borderId="10" xfId="2" applyNumberFormat="1" applyFont="1" applyFill="1" applyBorder="1"/>
    <xf numFmtId="43" fontId="0" fillId="0" borderId="10" xfId="1" applyFont="1" applyFill="1" applyBorder="1" applyAlignment="1">
      <alignment horizontal="center"/>
    </xf>
    <xf numFmtId="43" fontId="0" fillId="0" borderId="10" xfId="1" applyFont="1" applyFill="1" applyBorder="1"/>
    <xf numFmtId="0" fontId="4" fillId="0" borderId="12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166" fontId="4" fillId="0" borderId="13" xfId="1" applyNumberFormat="1" applyFont="1" applyFill="1" applyBorder="1" applyAlignment="1">
      <alignment horizontal="center"/>
    </xf>
    <xf numFmtId="166" fontId="4" fillId="0" borderId="14" xfId="1" applyNumberFormat="1" applyFont="1" applyFill="1" applyBorder="1" applyAlignment="1">
      <alignment horizontal="center"/>
    </xf>
    <xf numFmtId="166" fontId="0" fillId="0" borderId="10" xfId="1" applyNumberFormat="1" applyFont="1" applyFill="1" applyBorder="1" applyAlignment="1"/>
    <xf numFmtId="166" fontId="0" fillId="0" borderId="16" xfId="1" applyNumberFormat="1" applyFont="1" applyFill="1" applyBorder="1" applyAlignment="1"/>
    <xf numFmtId="166" fontId="0" fillId="0" borderId="18" xfId="1" applyNumberFormat="1" applyFont="1" applyFill="1" applyBorder="1" applyAlignment="1"/>
    <xf numFmtId="166" fontId="0" fillId="0" borderId="19" xfId="1" applyNumberFormat="1" applyFont="1" applyFill="1" applyBorder="1" applyAlignment="1"/>
    <xf numFmtId="166" fontId="0" fillId="0" borderId="0" xfId="1" applyNumberFormat="1" applyFont="1"/>
    <xf numFmtId="166" fontId="0" fillId="0" borderId="11" xfId="1" applyNumberFormat="1" applyFont="1" applyBorder="1"/>
    <xf numFmtId="14" fontId="0" fillId="0" borderId="10" xfId="0" applyNumberFormat="1" applyBorder="1" applyAlignment="1">
      <alignment horizontal="center"/>
    </xf>
    <xf numFmtId="167" fontId="0" fillId="126" borderId="10" xfId="1" applyNumberFormat="1" applyFont="1" applyFill="1" applyBorder="1" applyAlignment="1">
      <alignment horizontal="center"/>
    </xf>
    <xf numFmtId="167" fontId="0" fillId="0" borderId="10" xfId="1" applyNumberFormat="1" applyFont="1" applyFill="1" applyBorder="1" applyAlignment="1">
      <alignment horizontal="center"/>
    </xf>
    <xf numFmtId="167" fontId="0" fillId="0" borderId="10" xfId="1" applyNumberFormat="1" applyFont="1" applyFill="1" applyBorder="1"/>
    <xf numFmtId="167" fontId="0" fillId="0" borderId="10" xfId="1" applyNumberFormat="1" applyFont="1" applyBorder="1"/>
    <xf numFmtId="167" fontId="0" fillId="126" borderId="10" xfId="1" applyNumberFormat="1" applyFont="1" applyFill="1" applyBorder="1" applyAlignment="1">
      <alignment horizontal="center" wrapText="1"/>
    </xf>
    <xf numFmtId="167" fontId="0" fillId="126" borderId="23" xfId="1" applyNumberFormat="1" applyFont="1" applyFill="1" applyBorder="1" applyAlignment="1">
      <alignment horizontal="center" wrapText="1"/>
    </xf>
    <xf numFmtId="167" fontId="0" fillId="126" borderId="23" xfId="1" applyNumberFormat="1" applyFont="1" applyFill="1" applyBorder="1" applyAlignment="1">
      <alignment horizontal="center"/>
    </xf>
    <xf numFmtId="0" fontId="0" fillId="126" borderId="23" xfId="0" applyFill="1" applyBorder="1" applyAlignment="1">
      <alignment horizontal="center"/>
    </xf>
    <xf numFmtId="167" fontId="0" fillId="0" borderId="10" xfId="1" applyNumberFormat="1" applyFont="1" applyFill="1" applyBorder="1" applyAlignment="1">
      <alignment horizontal="left"/>
    </xf>
    <xf numFmtId="167" fontId="0" fillId="0" borderId="0" xfId="1" applyNumberFormat="1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43" fontId="0" fillId="0" borderId="23" xfId="1" applyFont="1" applyBorder="1" applyAlignment="1">
      <alignment horizontal="center" vertical="center"/>
    </xf>
    <xf numFmtId="43" fontId="0" fillId="0" borderId="24" xfId="1" applyFont="1" applyBorder="1" applyAlignment="1">
      <alignment horizontal="center" vertical="center"/>
    </xf>
    <xf numFmtId="43" fontId="0" fillId="0" borderId="25" xfId="1" applyFont="1" applyBorder="1" applyAlignment="1">
      <alignment horizontal="center" vertical="center"/>
    </xf>
    <xf numFmtId="43" fontId="0" fillId="0" borderId="23" xfId="1" applyFont="1" applyFill="1" applyBorder="1" applyAlignment="1">
      <alignment horizontal="center" vertical="center"/>
    </xf>
    <xf numFmtId="43" fontId="0" fillId="0" borderId="24" xfId="1" applyFont="1" applyFill="1" applyBorder="1" applyAlignment="1">
      <alignment horizontal="center" vertical="center"/>
    </xf>
    <xf numFmtId="43" fontId="0" fillId="0" borderId="25" xfId="1" applyFont="1" applyFill="1" applyBorder="1" applyAlignment="1">
      <alignment horizontal="center" vertical="center"/>
    </xf>
    <xf numFmtId="164" fontId="0" fillId="122" borderId="10" xfId="2" applyNumberFormat="1" applyFont="1" applyFill="1" applyBorder="1" applyAlignment="1">
      <alignment horizontal="center"/>
    </xf>
    <xf numFmtId="164" fontId="0" fillId="123" borderId="10" xfId="2" applyNumberFormat="1" applyFont="1" applyFill="1" applyBorder="1" applyAlignment="1">
      <alignment horizontal="center"/>
    </xf>
    <xf numFmtId="164" fontId="0" fillId="124" borderId="10" xfId="2" applyNumberFormat="1" applyFont="1" applyFill="1" applyBorder="1" applyAlignment="1">
      <alignment horizontal="center"/>
    </xf>
    <xf numFmtId="0" fontId="0" fillId="125" borderId="10" xfId="0" applyFill="1" applyBorder="1" applyAlignment="1">
      <alignment horizontal="center"/>
    </xf>
    <xf numFmtId="0" fontId="0" fillId="0" borderId="0" xfId="0" applyAlignment="1">
      <alignment horizontal="left" wrapText="1"/>
    </xf>
    <xf numFmtId="0" fontId="0" fillId="125" borderId="20" xfId="0" applyFill="1" applyBorder="1" applyAlignment="1">
      <alignment horizontal="center"/>
    </xf>
    <xf numFmtId="0" fontId="0" fillId="125" borderId="21" xfId="0" applyFill="1" applyBorder="1" applyAlignment="1">
      <alignment horizontal="center"/>
    </xf>
    <xf numFmtId="0" fontId="0" fillId="125" borderId="22" xfId="0" applyFill="1" applyBorder="1" applyAlignment="1">
      <alignment horizontal="center"/>
    </xf>
    <xf numFmtId="167" fontId="0" fillId="0" borderId="23" xfId="1" applyNumberFormat="1" applyFont="1" applyFill="1" applyBorder="1" applyAlignment="1">
      <alignment horizontal="center" vertical="center"/>
    </xf>
    <xf numFmtId="167" fontId="0" fillId="0" borderId="24" xfId="1" applyNumberFormat="1" applyFont="1" applyFill="1" applyBorder="1" applyAlignment="1">
      <alignment horizontal="center" vertical="center"/>
    </xf>
    <xf numFmtId="167" fontId="0" fillId="0" borderId="25" xfId="1" applyNumberFormat="1" applyFont="1" applyFill="1" applyBorder="1" applyAlignment="1">
      <alignment horizontal="center" vertical="center"/>
    </xf>
    <xf numFmtId="167" fontId="0" fillId="0" borderId="23" xfId="1" applyNumberFormat="1" applyFont="1" applyBorder="1" applyAlignment="1">
      <alignment horizontal="center" vertical="center"/>
    </xf>
    <xf numFmtId="167" fontId="0" fillId="0" borderId="24" xfId="1" applyNumberFormat="1" applyFont="1" applyBorder="1" applyAlignment="1">
      <alignment horizontal="center" vertical="center"/>
    </xf>
    <xf numFmtId="167" fontId="0" fillId="0" borderId="25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411357146897952E-2"/>
          <c:y val="0.10051598167483818"/>
          <c:w val="0.9439028108310541"/>
          <c:h val="0.8830234903750751"/>
        </c:manualLayout>
      </c:layout>
      <c:lineChart>
        <c:grouping val="standard"/>
        <c:varyColors val="0"/>
        <c:ser>
          <c:idx val="0"/>
          <c:order val="0"/>
          <c:tx>
            <c:strRef>
              <c:f>'month-unelgee'!$K$2</c:f>
              <c:strCache>
                <c:ptCount val="1"/>
                <c:pt idx="0">
                  <c:v> AN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'month-unelgee'!$B$3:$B$49</c:f>
              <c:numCache>
                <c:formatCode>m/d/yyyy</c:formatCode>
                <c:ptCount val="47"/>
                <c:pt idx="0">
                  <c:v>46204</c:v>
                </c:pt>
                <c:pt idx="1">
                  <c:v>46174</c:v>
                </c:pt>
                <c:pt idx="2">
                  <c:v>46143</c:v>
                </c:pt>
                <c:pt idx="3">
                  <c:v>46113</c:v>
                </c:pt>
                <c:pt idx="4">
                  <c:v>46082</c:v>
                </c:pt>
                <c:pt idx="5">
                  <c:v>46054</c:v>
                </c:pt>
                <c:pt idx="6">
                  <c:v>46023</c:v>
                </c:pt>
                <c:pt idx="7">
                  <c:v>45992</c:v>
                </c:pt>
                <c:pt idx="8">
                  <c:v>45962</c:v>
                </c:pt>
                <c:pt idx="9">
                  <c:v>45931</c:v>
                </c:pt>
                <c:pt idx="10">
                  <c:v>45901</c:v>
                </c:pt>
                <c:pt idx="11">
                  <c:v>45870</c:v>
                </c:pt>
                <c:pt idx="12">
                  <c:v>45839</c:v>
                </c:pt>
                <c:pt idx="13">
                  <c:v>45809</c:v>
                </c:pt>
                <c:pt idx="14">
                  <c:v>45778</c:v>
                </c:pt>
                <c:pt idx="15">
                  <c:v>45748</c:v>
                </c:pt>
                <c:pt idx="16">
                  <c:v>45717</c:v>
                </c:pt>
                <c:pt idx="17">
                  <c:v>45689</c:v>
                </c:pt>
                <c:pt idx="18">
                  <c:v>45658</c:v>
                </c:pt>
                <c:pt idx="19">
                  <c:v>45627</c:v>
                </c:pt>
                <c:pt idx="20">
                  <c:v>45597</c:v>
                </c:pt>
                <c:pt idx="21">
                  <c:v>45566</c:v>
                </c:pt>
                <c:pt idx="22">
                  <c:v>45536</c:v>
                </c:pt>
                <c:pt idx="23">
                  <c:v>45505</c:v>
                </c:pt>
                <c:pt idx="24">
                  <c:v>45474</c:v>
                </c:pt>
                <c:pt idx="25">
                  <c:v>45444</c:v>
                </c:pt>
                <c:pt idx="26">
                  <c:v>45413</c:v>
                </c:pt>
                <c:pt idx="27">
                  <c:v>45383</c:v>
                </c:pt>
                <c:pt idx="28">
                  <c:v>45352</c:v>
                </c:pt>
                <c:pt idx="29">
                  <c:v>45323</c:v>
                </c:pt>
                <c:pt idx="30">
                  <c:v>45292</c:v>
                </c:pt>
                <c:pt idx="31">
                  <c:v>45261</c:v>
                </c:pt>
                <c:pt idx="32">
                  <c:v>45231</c:v>
                </c:pt>
                <c:pt idx="33">
                  <c:v>45200</c:v>
                </c:pt>
                <c:pt idx="34">
                  <c:v>45170</c:v>
                </c:pt>
                <c:pt idx="35">
                  <c:v>45139</c:v>
                </c:pt>
                <c:pt idx="36">
                  <c:v>45108</c:v>
                </c:pt>
                <c:pt idx="37">
                  <c:v>45078</c:v>
                </c:pt>
                <c:pt idx="38">
                  <c:v>45047</c:v>
                </c:pt>
                <c:pt idx="39">
                  <c:v>45017</c:v>
                </c:pt>
                <c:pt idx="40">
                  <c:v>44986</c:v>
                </c:pt>
                <c:pt idx="41">
                  <c:v>44958</c:v>
                </c:pt>
                <c:pt idx="42">
                  <c:v>44927</c:v>
                </c:pt>
                <c:pt idx="43">
                  <c:v>44896</c:v>
                </c:pt>
                <c:pt idx="44">
                  <c:v>44866</c:v>
                </c:pt>
                <c:pt idx="45">
                  <c:v>44835</c:v>
                </c:pt>
                <c:pt idx="46">
                  <c:v>44805</c:v>
                </c:pt>
              </c:numCache>
            </c:numRef>
          </c:cat>
          <c:val>
            <c:numRef>
              <c:f>'month-unelgee'!$K$3:$K$49</c:f>
              <c:numCache>
                <c:formatCode>0%</c:formatCode>
                <c:ptCount val="47"/>
                <c:pt idx="0">
                  <c:v>-7.8152753108348141E-2</c:v>
                </c:pt>
                <c:pt idx="1">
                  <c:v>-6.761836940860845E-2</c:v>
                </c:pt>
                <c:pt idx="2">
                  <c:v>9.2904977375565689E-2</c:v>
                </c:pt>
                <c:pt idx="3">
                  <c:v>0.18817204301075269</c:v>
                </c:pt>
                <c:pt idx="4">
                  <c:v>0.33620689655172414</c:v>
                </c:pt>
                <c:pt idx="5">
                  <c:v>5.7803468208092483E-3</c:v>
                </c:pt>
                <c:pt idx="6">
                  <c:v>5.4878048780487805E-2</c:v>
                </c:pt>
                <c:pt idx="7">
                  <c:v>0</c:v>
                </c:pt>
                <c:pt idx="8">
                  <c:v>-0.12533333333333332</c:v>
                </c:pt>
                <c:pt idx="9">
                  <c:v>5.3619302949061663E-3</c:v>
                </c:pt>
                <c:pt idx="10">
                  <c:v>8.1081081081081086E-3</c:v>
                </c:pt>
                <c:pt idx="11">
                  <c:v>0.20129870129870131</c:v>
                </c:pt>
                <c:pt idx="12">
                  <c:v>0</c:v>
                </c:pt>
                <c:pt idx="13">
                  <c:v>-4.0498442367601244E-2</c:v>
                </c:pt>
                <c:pt idx="14">
                  <c:v>5.2459016393442623E-2</c:v>
                </c:pt>
                <c:pt idx="15">
                  <c:v>1.3289036544850499E-2</c:v>
                </c:pt>
                <c:pt idx="16">
                  <c:v>-2.2727272727272728E-2</c:v>
                </c:pt>
                <c:pt idx="17">
                  <c:v>0.11594202898550725</c:v>
                </c:pt>
                <c:pt idx="18">
                  <c:v>0.13114754098360656</c:v>
                </c:pt>
                <c:pt idx="19">
                  <c:v>-7.9245283018867921E-2</c:v>
                </c:pt>
                <c:pt idx="20">
                  <c:v>2.3166023166023165E-2</c:v>
                </c:pt>
                <c:pt idx="21">
                  <c:v>0.13100436681222707</c:v>
                </c:pt>
                <c:pt idx="22">
                  <c:v>-8.4000000000000005E-2</c:v>
                </c:pt>
                <c:pt idx="23">
                  <c:v>-3.1007751937984496E-2</c:v>
                </c:pt>
                <c:pt idx="24">
                  <c:v>0.12173913043478261</c:v>
                </c:pt>
                <c:pt idx="25">
                  <c:v>-0.11538461538461539</c:v>
                </c:pt>
                <c:pt idx="26">
                  <c:v>-0.13333333333333333</c:v>
                </c:pt>
                <c:pt idx="27">
                  <c:v>0</c:v>
                </c:pt>
                <c:pt idx="28">
                  <c:v>-3.2258064516129031E-2</c:v>
                </c:pt>
                <c:pt idx="29">
                  <c:v>0</c:v>
                </c:pt>
                <c:pt idx="30">
                  <c:v>3.3333333333333333E-2</c:v>
                </c:pt>
                <c:pt idx="31">
                  <c:v>0</c:v>
                </c:pt>
                <c:pt idx="32">
                  <c:v>0.2</c:v>
                </c:pt>
                <c:pt idx="33">
                  <c:v>0</c:v>
                </c:pt>
                <c:pt idx="34">
                  <c:v>0</c:v>
                </c:pt>
                <c:pt idx="35">
                  <c:v>-0.16666666666666666</c:v>
                </c:pt>
                <c:pt idx="36">
                  <c:v>0</c:v>
                </c:pt>
                <c:pt idx="37">
                  <c:v>-0.34782608695652173</c:v>
                </c:pt>
                <c:pt idx="38">
                  <c:v>0</c:v>
                </c:pt>
                <c:pt idx="39">
                  <c:v>0</c:v>
                </c:pt>
                <c:pt idx="40">
                  <c:v>-0.08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691-4C81-BF7F-32B50E1D0455}"/>
            </c:ext>
          </c:extLst>
        </c:ser>
        <c:ser>
          <c:idx val="2"/>
          <c:order val="1"/>
          <c:tx>
            <c:strRef>
              <c:f>'month-unelgee'!$M$2</c:f>
              <c:strCache>
                <c:ptCount val="1"/>
                <c:pt idx="0">
                  <c:v> Ammonia 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'month-unelgee'!$B$3:$B$49</c:f>
              <c:numCache>
                <c:formatCode>m/d/yyyy</c:formatCode>
                <c:ptCount val="47"/>
                <c:pt idx="0">
                  <c:v>46204</c:v>
                </c:pt>
                <c:pt idx="1">
                  <c:v>46174</c:v>
                </c:pt>
                <c:pt idx="2">
                  <c:v>46143</c:v>
                </c:pt>
                <c:pt idx="3">
                  <c:v>46113</c:v>
                </c:pt>
                <c:pt idx="4">
                  <c:v>46082</c:v>
                </c:pt>
                <c:pt idx="5">
                  <c:v>46054</c:v>
                </c:pt>
                <c:pt idx="6">
                  <c:v>46023</c:v>
                </c:pt>
                <c:pt idx="7">
                  <c:v>45992</c:v>
                </c:pt>
                <c:pt idx="8">
                  <c:v>45962</c:v>
                </c:pt>
                <c:pt idx="9">
                  <c:v>45931</c:v>
                </c:pt>
                <c:pt idx="10">
                  <c:v>45901</c:v>
                </c:pt>
                <c:pt idx="11">
                  <c:v>45870</c:v>
                </c:pt>
                <c:pt idx="12">
                  <c:v>45839</c:v>
                </c:pt>
                <c:pt idx="13">
                  <c:v>45809</c:v>
                </c:pt>
                <c:pt idx="14">
                  <c:v>45778</c:v>
                </c:pt>
                <c:pt idx="15">
                  <c:v>45748</c:v>
                </c:pt>
                <c:pt idx="16">
                  <c:v>45717</c:v>
                </c:pt>
                <c:pt idx="17">
                  <c:v>45689</c:v>
                </c:pt>
                <c:pt idx="18">
                  <c:v>45658</c:v>
                </c:pt>
                <c:pt idx="19">
                  <c:v>45627</c:v>
                </c:pt>
                <c:pt idx="20">
                  <c:v>45597</c:v>
                </c:pt>
                <c:pt idx="21">
                  <c:v>45566</c:v>
                </c:pt>
                <c:pt idx="22">
                  <c:v>45536</c:v>
                </c:pt>
                <c:pt idx="23">
                  <c:v>45505</c:v>
                </c:pt>
                <c:pt idx="24">
                  <c:v>45474</c:v>
                </c:pt>
                <c:pt idx="25">
                  <c:v>45444</c:v>
                </c:pt>
                <c:pt idx="26">
                  <c:v>45413</c:v>
                </c:pt>
                <c:pt idx="27">
                  <c:v>45383</c:v>
                </c:pt>
                <c:pt idx="28">
                  <c:v>45352</c:v>
                </c:pt>
                <c:pt idx="29">
                  <c:v>45323</c:v>
                </c:pt>
                <c:pt idx="30">
                  <c:v>45292</c:v>
                </c:pt>
                <c:pt idx="31">
                  <c:v>45261</c:v>
                </c:pt>
                <c:pt idx="32">
                  <c:v>45231</c:v>
                </c:pt>
                <c:pt idx="33">
                  <c:v>45200</c:v>
                </c:pt>
                <c:pt idx="34">
                  <c:v>45170</c:v>
                </c:pt>
                <c:pt idx="35">
                  <c:v>45139</c:v>
                </c:pt>
                <c:pt idx="36">
                  <c:v>45108</c:v>
                </c:pt>
                <c:pt idx="37">
                  <c:v>45078</c:v>
                </c:pt>
                <c:pt idx="38">
                  <c:v>45047</c:v>
                </c:pt>
                <c:pt idx="39">
                  <c:v>45017</c:v>
                </c:pt>
                <c:pt idx="40">
                  <c:v>44986</c:v>
                </c:pt>
                <c:pt idx="41">
                  <c:v>44958</c:v>
                </c:pt>
                <c:pt idx="42">
                  <c:v>44927</c:v>
                </c:pt>
                <c:pt idx="43">
                  <c:v>44896</c:v>
                </c:pt>
                <c:pt idx="44">
                  <c:v>44866</c:v>
                </c:pt>
                <c:pt idx="45">
                  <c:v>44835</c:v>
                </c:pt>
                <c:pt idx="46">
                  <c:v>44805</c:v>
                </c:pt>
              </c:numCache>
            </c:numRef>
          </c:cat>
          <c:val>
            <c:numRef>
              <c:f>'month-unelgee'!$M$3:$M$49</c:f>
              <c:numCache>
                <c:formatCode>0%</c:formatCode>
                <c:ptCount val="47"/>
                <c:pt idx="0">
                  <c:v>-1.2500000000000001E-2</c:v>
                </c:pt>
                <c:pt idx="1">
                  <c:v>3.896103896103896E-2</c:v>
                </c:pt>
                <c:pt idx="2">
                  <c:v>0.1273792093704246</c:v>
                </c:pt>
                <c:pt idx="3">
                  <c:v>0.17253218884120172</c:v>
                </c:pt>
                <c:pt idx="4">
                  <c:v>0.18124207858048164</c:v>
                </c:pt>
                <c:pt idx="5">
                  <c:v>-5.1682692307692304E-2</c:v>
                </c:pt>
                <c:pt idx="6">
                  <c:v>4.6540880503144651E-2</c:v>
                </c:pt>
                <c:pt idx="7">
                  <c:v>0.10724233983286909</c:v>
                </c:pt>
                <c:pt idx="8">
                  <c:v>0.121875</c:v>
                </c:pt>
                <c:pt idx="9">
                  <c:v>0.13475177304964539</c:v>
                </c:pt>
                <c:pt idx="10">
                  <c:v>8.964451313755796E-2</c:v>
                </c:pt>
                <c:pt idx="11">
                  <c:v>6.0655737704918035E-2</c:v>
                </c:pt>
                <c:pt idx="12">
                  <c:v>5.1724137931034482E-2</c:v>
                </c:pt>
                <c:pt idx="13">
                  <c:v>-4.1322314049586778E-2</c:v>
                </c:pt>
                <c:pt idx="14">
                  <c:v>0</c:v>
                </c:pt>
                <c:pt idx="15">
                  <c:v>-2.0242914979757085E-2</c:v>
                </c:pt>
                <c:pt idx="16">
                  <c:v>-0.10018214936247723</c:v>
                </c:pt>
                <c:pt idx="17">
                  <c:v>-0.13895859473023839</c:v>
                </c:pt>
                <c:pt idx="18">
                  <c:v>-3.9759036144578312E-2</c:v>
                </c:pt>
                <c:pt idx="19">
                  <c:v>-3.4883720930232558E-2</c:v>
                </c:pt>
                <c:pt idx="20">
                  <c:v>0</c:v>
                </c:pt>
                <c:pt idx="21">
                  <c:v>0.10610932475884244</c:v>
                </c:pt>
                <c:pt idx="22">
                  <c:v>0.1251808972503618</c:v>
                </c:pt>
                <c:pt idx="23">
                  <c:v>0.13278688524590163</c:v>
                </c:pt>
                <c:pt idx="24">
                  <c:v>4.7210300429184553E-2</c:v>
                </c:pt>
                <c:pt idx="25">
                  <c:v>4.954954954954955E-2</c:v>
                </c:pt>
                <c:pt idx="26">
                  <c:v>4.2743071864725223E-2</c:v>
                </c:pt>
                <c:pt idx="27">
                  <c:v>-0.12745901639344262</c:v>
                </c:pt>
                <c:pt idx="28">
                  <c:v>-6.1538461538461542E-2</c:v>
                </c:pt>
                <c:pt idx="29">
                  <c:v>-0.23529411764705882</c:v>
                </c:pt>
                <c:pt idx="30">
                  <c:v>-8.2073434125269976E-2</c:v>
                </c:pt>
                <c:pt idx="31">
                  <c:v>-0.15818181818181817</c:v>
                </c:pt>
                <c:pt idx="32">
                  <c:v>0</c:v>
                </c:pt>
                <c:pt idx="33">
                  <c:v>0.22767857142857142</c:v>
                </c:pt>
                <c:pt idx="34">
                  <c:v>0.34232209737827718</c:v>
                </c:pt>
                <c:pt idx="35">
                  <c:v>0.29611650485436891</c:v>
                </c:pt>
                <c:pt idx="36">
                  <c:v>0.25</c:v>
                </c:pt>
                <c:pt idx="37">
                  <c:v>-0.14611398963730571</c:v>
                </c:pt>
                <c:pt idx="38">
                  <c:v>-0.10854503464203233</c:v>
                </c:pt>
                <c:pt idx="39">
                  <c:v>-0.36843640606767797</c:v>
                </c:pt>
                <c:pt idx="40">
                  <c:v>-0.35925233644859811</c:v>
                </c:pt>
                <c:pt idx="41">
                  <c:v>-0.18569254185692541</c:v>
                </c:pt>
                <c:pt idx="42">
                  <c:v>-8.1889323644494125E-2</c:v>
                </c:pt>
                <c:pt idx="43">
                  <c:v>-0.13102610807528842</c:v>
                </c:pt>
                <c:pt idx="44">
                  <c:v>-1.9642857142857142E-2</c:v>
                </c:pt>
                <c:pt idx="45">
                  <c:v>-3.0023094688221709E-2</c:v>
                </c:pt>
                <c:pt idx="46">
                  <c:v>0.17027027027027028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1691-4C81-BF7F-32B50E1D0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2617967"/>
        <c:axId val="502618383"/>
      </c:lineChart>
      <c:dateAx>
        <c:axId val="50261796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618383"/>
        <c:crosses val="autoZero"/>
        <c:auto val="1"/>
        <c:lblOffset val="100"/>
        <c:baseTimeUnit val="months"/>
      </c:dateAx>
      <c:valAx>
        <c:axId val="50261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61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2240</xdr:colOff>
      <xdr:row>49</xdr:row>
      <xdr:rowOff>167529</xdr:rowOff>
    </xdr:from>
    <xdr:to>
      <xdr:col>16</xdr:col>
      <xdr:colOff>8964</xdr:colOff>
      <xdr:row>71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DD0F1E-3C6E-47B4-9A10-B2E1893C7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8</xdr:row>
      <xdr:rowOff>152400</xdr:rowOff>
    </xdr:from>
    <xdr:to>
      <xdr:col>7</xdr:col>
      <xdr:colOff>438150</xdr:colOff>
      <xdr:row>60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FFD787-FCA5-4E02-9A24-5751715DD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676400"/>
          <a:ext cx="4933950" cy="9858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62</xdr:row>
      <xdr:rowOff>152400</xdr:rowOff>
    </xdr:from>
    <xdr:to>
      <xdr:col>8</xdr:col>
      <xdr:colOff>352425</xdr:colOff>
      <xdr:row>102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CC35A8-E3F6-4201-A7BD-2D07096E7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1849100"/>
          <a:ext cx="5410200" cy="7572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9525</xdr:colOff>
      <xdr:row>62</xdr:row>
      <xdr:rowOff>95250</xdr:rowOff>
    </xdr:from>
    <xdr:to>
      <xdr:col>18</xdr:col>
      <xdr:colOff>542925</xdr:colOff>
      <xdr:row>102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745647-D6A1-4F53-86D7-4C5CDED9A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0" y="11791950"/>
          <a:ext cx="5410200" cy="7572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2C5591C-B54C-4677-9089-59C69963BEAB}">
  <we:reference id="wa200000018" version="25.2.0.0" store="en-US" storeType="OMEX"/>
  <we:alternateReferences>
    <we:reference id="WA200000018" version="25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PSIMETALOG2</we:customFunctionIds>
        <we:customFunctionIds>PSIMETALOGSPT</we:customFunctionIds>
        <we:customFunctionIds>PSIMETALOGFIT</we:customFunctionIds>
        <we:customFunctionIds>PSIMETALOG2FIT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PSILEVYALT</we:customFunctionIds>
        <we:customFunctionIds>PSIHYPSECANTALT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EB73-F00E-42A9-8127-7C5A52CE2E91}">
  <dimension ref="A1:AB82"/>
  <sheetViews>
    <sheetView workbookViewId="0">
      <selection activeCell="N26" sqref="N26"/>
    </sheetView>
  </sheetViews>
  <sheetFormatPr defaultRowHeight="14.4" x14ac:dyDescent="0.3"/>
  <sheetData>
    <row r="1" spans="1:28" x14ac:dyDescent="0.3">
      <c r="A1" s="1"/>
      <c r="B1" s="1"/>
      <c r="C1" s="1"/>
      <c r="D1" s="1"/>
      <c r="E1" s="199" t="s">
        <v>0</v>
      </c>
      <c r="F1" s="19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s="2" customFormat="1" x14ac:dyDescent="0.3">
      <c r="A2" s="3"/>
      <c r="B2" s="3" t="s">
        <v>1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/>
      <c r="I2" s="3" t="s">
        <v>6</v>
      </c>
      <c r="J2" s="3" t="s">
        <v>7</v>
      </c>
      <c r="K2" s="3"/>
      <c r="L2" s="3" t="s">
        <v>8</v>
      </c>
      <c r="M2" s="3"/>
      <c r="N2" s="3" t="s">
        <v>7</v>
      </c>
      <c r="O2" s="3" t="s">
        <v>8</v>
      </c>
      <c r="P2" s="3" t="s">
        <v>4</v>
      </c>
      <c r="Q2" s="3" t="s">
        <v>3</v>
      </c>
      <c r="R2" s="3"/>
      <c r="S2" s="3"/>
      <c r="T2" s="3"/>
      <c r="U2" s="3"/>
      <c r="V2" s="3"/>
      <c r="W2" s="3"/>
      <c r="X2" s="3" t="s">
        <v>9</v>
      </c>
      <c r="Y2" s="3" t="s">
        <v>10</v>
      </c>
      <c r="Z2" s="3" t="s">
        <v>11</v>
      </c>
      <c r="AA2" s="3" t="s">
        <v>12</v>
      </c>
      <c r="AB2" s="3" t="s">
        <v>13</v>
      </c>
    </row>
    <row r="3" spans="1:28" x14ac:dyDescent="0.3">
      <c r="A3" s="4">
        <v>44774</v>
      </c>
      <c r="B3" s="1" t="s">
        <v>14</v>
      </c>
      <c r="C3" s="1">
        <v>2022</v>
      </c>
      <c r="D3" s="1">
        <v>8</v>
      </c>
      <c r="E3" s="1">
        <v>500</v>
      </c>
      <c r="F3" s="1">
        <v>550</v>
      </c>
      <c r="G3" s="1">
        <v>3.4</v>
      </c>
      <c r="H3" s="1"/>
      <c r="I3" s="1">
        <v>69.7</v>
      </c>
      <c r="J3" s="1">
        <v>915</v>
      </c>
      <c r="K3" s="1"/>
      <c r="L3" s="1">
        <v>652</v>
      </c>
      <c r="M3" s="5">
        <v>567</v>
      </c>
      <c r="N3" s="5">
        <v>458</v>
      </c>
      <c r="O3" s="5">
        <v>326</v>
      </c>
      <c r="P3" s="5">
        <v>500</v>
      </c>
      <c r="Q3" s="1">
        <v>550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3">
      <c r="A4" s="4">
        <v>44805</v>
      </c>
      <c r="B4" s="1" t="s">
        <v>15</v>
      </c>
      <c r="C4" s="1">
        <v>2022</v>
      </c>
      <c r="D4" s="1">
        <v>9</v>
      </c>
      <c r="E4" s="1">
        <v>500</v>
      </c>
      <c r="F4" s="1">
        <v>530</v>
      </c>
      <c r="G4" s="1">
        <v>3.6</v>
      </c>
      <c r="H4" s="1"/>
      <c r="I4" s="1">
        <v>75.7</v>
      </c>
      <c r="J4" s="6">
        <v>1076</v>
      </c>
      <c r="K4" s="1"/>
      <c r="L4" s="1">
        <v>904</v>
      </c>
      <c r="M4" s="1">
        <v>752</v>
      </c>
      <c r="N4" s="1">
        <v>538</v>
      </c>
      <c r="O4" s="1">
        <v>452</v>
      </c>
      <c r="P4" s="1">
        <v>500</v>
      </c>
      <c r="Q4" s="1">
        <v>530</v>
      </c>
      <c r="R4" s="7">
        <v>7.0000000000000007E-2</v>
      </c>
      <c r="S4" s="8">
        <v>0.09</v>
      </c>
      <c r="T4" s="9">
        <v>0.18</v>
      </c>
      <c r="U4" s="10">
        <v>0.38</v>
      </c>
      <c r="V4" s="11">
        <v>0</v>
      </c>
      <c r="W4" s="12">
        <v>-0.04</v>
      </c>
      <c r="X4" s="1"/>
      <c r="Y4" s="1"/>
      <c r="Z4" s="1"/>
      <c r="AA4" s="1"/>
      <c r="AB4" s="1"/>
    </row>
    <row r="5" spans="1:28" x14ac:dyDescent="0.3">
      <c r="A5" s="4">
        <v>44835</v>
      </c>
      <c r="B5" s="1" t="s">
        <v>16</v>
      </c>
      <c r="C5" s="1">
        <v>2022</v>
      </c>
      <c r="D5" s="1">
        <v>10</v>
      </c>
      <c r="E5" s="1">
        <v>500</v>
      </c>
      <c r="F5" s="1">
        <v>530</v>
      </c>
      <c r="G5" s="1">
        <v>3.7</v>
      </c>
      <c r="H5" s="1"/>
      <c r="I5" s="1">
        <v>82.1</v>
      </c>
      <c r="J5" s="1">
        <v>885</v>
      </c>
      <c r="K5" s="1"/>
      <c r="L5" s="1">
        <v>974</v>
      </c>
      <c r="M5" s="1">
        <v>764</v>
      </c>
      <c r="N5" s="1">
        <v>443</v>
      </c>
      <c r="O5" s="1">
        <v>487</v>
      </c>
      <c r="P5" s="1">
        <v>500</v>
      </c>
      <c r="Q5" s="1">
        <v>530</v>
      </c>
      <c r="R5" s="13">
        <v>0.03</v>
      </c>
      <c r="S5" s="8">
        <v>0.08</v>
      </c>
      <c r="T5" s="14">
        <v>-0.18</v>
      </c>
      <c r="U5" s="15">
        <v>0.08</v>
      </c>
      <c r="V5" s="11">
        <v>0</v>
      </c>
      <c r="W5" s="11">
        <v>0</v>
      </c>
      <c r="X5" s="1"/>
      <c r="Y5" s="1"/>
      <c r="Z5" s="1"/>
      <c r="AA5" s="1"/>
      <c r="AB5" s="1"/>
    </row>
    <row r="6" spans="1:28" x14ac:dyDescent="0.3">
      <c r="A6" s="4">
        <v>44866</v>
      </c>
      <c r="B6" s="1" t="s">
        <v>17</v>
      </c>
      <c r="C6" s="1">
        <v>2022</v>
      </c>
      <c r="D6" s="1">
        <v>11</v>
      </c>
      <c r="E6" s="1">
        <v>500</v>
      </c>
      <c r="F6" s="1">
        <v>550</v>
      </c>
      <c r="G6" s="1">
        <v>3.6</v>
      </c>
      <c r="H6" s="1"/>
      <c r="I6" s="1">
        <v>70.8</v>
      </c>
      <c r="J6" s="1">
        <v>772</v>
      </c>
      <c r="K6" s="1"/>
      <c r="L6" s="1">
        <v>821</v>
      </c>
      <c r="M6" s="1">
        <v>648</v>
      </c>
      <c r="N6" s="1">
        <v>386</v>
      </c>
      <c r="O6" s="1">
        <v>410</v>
      </c>
      <c r="P6" s="1">
        <v>500</v>
      </c>
      <c r="Q6" s="1">
        <v>550</v>
      </c>
      <c r="R6" s="16">
        <v>-0.04</v>
      </c>
      <c r="S6" s="17">
        <v>-0.14000000000000001</v>
      </c>
      <c r="T6" s="18">
        <v>-0.13</v>
      </c>
      <c r="U6" s="19">
        <v>-0.16</v>
      </c>
      <c r="V6" s="11">
        <v>0</v>
      </c>
      <c r="W6" s="20">
        <v>0.04</v>
      </c>
      <c r="X6" s="1"/>
      <c r="Y6" s="1"/>
      <c r="Z6" s="1"/>
      <c r="AA6" s="1"/>
      <c r="AB6" s="1"/>
    </row>
    <row r="7" spans="1:28" x14ac:dyDescent="0.3">
      <c r="A7" s="4">
        <v>44896</v>
      </c>
      <c r="B7" s="1" t="s">
        <v>18</v>
      </c>
      <c r="C7" s="1">
        <v>2022</v>
      </c>
      <c r="D7" s="1">
        <v>12</v>
      </c>
      <c r="E7" s="1">
        <v>500</v>
      </c>
      <c r="F7" s="1">
        <v>540</v>
      </c>
      <c r="G7" s="1">
        <v>3.5</v>
      </c>
      <c r="H7" s="1"/>
      <c r="I7" s="1">
        <v>73.599999999999994</v>
      </c>
      <c r="J7" s="1">
        <v>518</v>
      </c>
      <c r="K7" s="1"/>
      <c r="L7" s="1">
        <v>936</v>
      </c>
      <c r="M7" s="1">
        <v>678</v>
      </c>
      <c r="N7" s="1">
        <v>259</v>
      </c>
      <c r="O7" s="1">
        <v>468</v>
      </c>
      <c r="P7" s="1">
        <v>500</v>
      </c>
      <c r="Q7" s="1">
        <v>540</v>
      </c>
      <c r="R7" s="21">
        <v>-0.02</v>
      </c>
      <c r="S7" s="20">
        <v>0.04</v>
      </c>
      <c r="T7" s="22">
        <v>-0.33</v>
      </c>
      <c r="U7" s="23">
        <v>0.14000000000000001</v>
      </c>
      <c r="V7" s="11">
        <v>0</v>
      </c>
      <c r="W7" s="24">
        <v>-0.02</v>
      </c>
      <c r="X7" s="1"/>
      <c r="Y7" s="1"/>
      <c r="Z7" s="1"/>
      <c r="AA7" s="1"/>
      <c r="AB7" s="1"/>
    </row>
    <row r="8" spans="1:28" x14ac:dyDescent="0.3">
      <c r="A8" s="4">
        <v>44927</v>
      </c>
      <c r="B8" s="1" t="s">
        <v>19</v>
      </c>
      <c r="C8" s="1">
        <v>2023</v>
      </c>
      <c r="D8" s="1">
        <v>1</v>
      </c>
      <c r="E8" s="1">
        <v>500</v>
      </c>
      <c r="F8" s="1">
        <v>550</v>
      </c>
      <c r="G8" s="1">
        <v>3.3</v>
      </c>
      <c r="H8" s="1"/>
      <c r="I8" s="1">
        <v>96.2</v>
      </c>
      <c r="J8" s="1">
        <v>915</v>
      </c>
      <c r="K8" s="1"/>
      <c r="L8" s="1">
        <v>779</v>
      </c>
      <c r="M8" s="1">
        <v>646</v>
      </c>
      <c r="N8" s="1">
        <v>458</v>
      </c>
      <c r="O8" s="1">
        <v>389</v>
      </c>
      <c r="P8" s="1">
        <v>500</v>
      </c>
      <c r="Q8" s="1">
        <v>550</v>
      </c>
      <c r="R8" s="25">
        <v>-0.06</v>
      </c>
      <c r="S8" s="26">
        <v>0.31</v>
      </c>
      <c r="T8" s="27">
        <v>0.77</v>
      </c>
      <c r="U8" s="28">
        <v>-0.17</v>
      </c>
      <c r="V8" s="11">
        <v>0</v>
      </c>
      <c r="W8" s="29">
        <v>0.02</v>
      </c>
      <c r="X8" s="1"/>
      <c r="Y8" s="1"/>
      <c r="Z8" s="1"/>
      <c r="AA8" s="1"/>
      <c r="AB8" s="1"/>
    </row>
    <row r="9" spans="1:28" x14ac:dyDescent="0.3">
      <c r="A9" s="4">
        <v>44958</v>
      </c>
      <c r="B9" s="1" t="s">
        <v>20</v>
      </c>
      <c r="C9" s="1">
        <v>2023</v>
      </c>
      <c r="D9" s="1">
        <v>2</v>
      </c>
      <c r="E9" s="1"/>
      <c r="F9" s="1">
        <v>540</v>
      </c>
      <c r="G9" s="1">
        <v>3.3</v>
      </c>
      <c r="H9" s="1"/>
      <c r="I9" s="1">
        <v>94.3</v>
      </c>
      <c r="J9" s="1">
        <v>633</v>
      </c>
      <c r="K9" s="1"/>
      <c r="L9" s="1">
        <v>849</v>
      </c>
      <c r="M9" s="1">
        <v>642</v>
      </c>
      <c r="N9" s="1">
        <v>316</v>
      </c>
      <c r="O9" s="1">
        <v>424</v>
      </c>
      <c r="P9" s="1">
        <v>500</v>
      </c>
      <c r="Q9" s="1">
        <v>540</v>
      </c>
      <c r="R9" s="30">
        <v>0.01</v>
      </c>
      <c r="S9" s="21">
        <v>-0.02</v>
      </c>
      <c r="T9" s="31">
        <v>-0.31</v>
      </c>
      <c r="U9" s="32">
        <v>0.09</v>
      </c>
      <c r="V9" s="11">
        <v>0</v>
      </c>
      <c r="W9" s="24">
        <v>-0.02</v>
      </c>
      <c r="X9" s="1"/>
      <c r="Y9" s="1"/>
      <c r="Z9" s="1"/>
      <c r="AA9" s="1"/>
      <c r="AB9" s="1"/>
    </row>
    <row r="10" spans="1:28" x14ac:dyDescent="0.3">
      <c r="A10" s="4">
        <v>44986</v>
      </c>
      <c r="B10" s="1" t="s">
        <v>21</v>
      </c>
      <c r="C10" s="1">
        <v>2023</v>
      </c>
      <c r="D10" s="1">
        <v>3</v>
      </c>
      <c r="E10" s="1">
        <v>460</v>
      </c>
      <c r="F10" s="1">
        <v>550</v>
      </c>
      <c r="G10" s="1">
        <v>3.4</v>
      </c>
      <c r="H10" s="1"/>
      <c r="I10" s="1">
        <v>81.900000000000006</v>
      </c>
      <c r="J10" s="1">
        <v>553</v>
      </c>
      <c r="K10" s="1"/>
      <c r="L10" s="1">
        <v>551</v>
      </c>
      <c r="M10" s="1">
        <v>441</v>
      </c>
      <c r="N10" s="1">
        <v>276</v>
      </c>
      <c r="O10" s="1">
        <v>276</v>
      </c>
      <c r="P10" s="1">
        <v>460</v>
      </c>
      <c r="Q10" s="1">
        <v>550</v>
      </c>
      <c r="R10" s="20">
        <v>0.04</v>
      </c>
      <c r="S10" s="33">
        <v>-0.13</v>
      </c>
      <c r="T10" s="18">
        <v>-0.13</v>
      </c>
      <c r="U10" s="34">
        <v>-0.35</v>
      </c>
      <c r="V10" s="35">
        <v>-0.08</v>
      </c>
      <c r="W10" s="29">
        <v>0.02</v>
      </c>
      <c r="X10" s="1"/>
      <c r="Y10" s="1"/>
      <c r="Z10" s="1"/>
      <c r="AA10" s="1"/>
      <c r="AB10" s="1"/>
    </row>
    <row r="11" spans="1:28" x14ac:dyDescent="0.3">
      <c r="A11" s="4">
        <v>45017</v>
      </c>
      <c r="B11" s="1" t="s">
        <v>22</v>
      </c>
      <c r="C11" s="1">
        <v>2023</v>
      </c>
      <c r="D11" s="1">
        <v>4</v>
      </c>
      <c r="E11" s="1"/>
      <c r="F11" s="1">
        <v>550</v>
      </c>
      <c r="G11" s="1">
        <v>3.5</v>
      </c>
      <c r="H11" s="1"/>
      <c r="I11" s="1">
        <v>79.400000000000006</v>
      </c>
      <c r="J11" s="1">
        <v>364</v>
      </c>
      <c r="K11" s="1"/>
      <c r="L11" s="1">
        <v>588</v>
      </c>
      <c r="M11" s="1">
        <v>432</v>
      </c>
      <c r="N11" s="1">
        <v>182</v>
      </c>
      <c r="O11" s="1">
        <v>294</v>
      </c>
      <c r="P11" s="1">
        <v>460</v>
      </c>
      <c r="Q11" s="1">
        <v>550</v>
      </c>
      <c r="R11" s="36">
        <v>0.02</v>
      </c>
      <c r="S11" s="37">
        <v>-0.03</v>
      </c>
      <c r="T11" s="38">
        <v>-0.34</v>
      </c>
      <c r="U11" s="7">
        <v>7.0000000000000007E-2</v>
      </c>
      <c r="V11" s="11">
        <v>0</v>
      </c>
      <c r="W11" s="11">
        <v>0</v>
      </c>
      <c r="X11" s="1"/>
      <c r="Y11" s="1"/>
      <c r="Z11" s="1"/>
      <c r="AA11" s="1"/>
      <c r="AB11" s="1"/>
    </row>
    <row r="12" spans="1:28" x14ac:dyDescent="0.3">
      <c r="A12" s="4">
        <v>45047</v>
      </c>
      <c r="B12" s="1" t="s">
        <v>23</v>
      </c>
      <c r="C12" s="1">
        <v>2023</v>
      </c>
      <c r="D12" s="1">
        <v>5</v>
      </c>
      <c r="E12" s="1">
        <v>460</v>
      </c>
      <c r="F12" s="1">
        <v>330</v>
      </c>
      <c r="G12" s="1">
        <v>3.6</v>
      </c>
      <c r="H12" s="1"/>
      <c r="I12" s="1">
        <v>90.7</v>
      </c>
      <c r="J12" s="1">
        <v>356</v>
      </c>
      <c r="K12" s="1"/>
      <c r="L12" s="1">
        <v>537</v>
      </c>
      <c r="M12" s="1">
        <v>399</v>
      </c>
      <c r="N12" s="1">
        <v>178</v>
      </c>
      <c r="O12" s="1">
        <v>268</v>
      </c>
      <c r="P12" s="1">
        <v>460</v>
      </c>
      <c r="Q12" s="1">
        <v>330</v>
      </c>
      <c r="R12" s="39">
        <v>0.01</v>
      </c>
      <c r="S12" s="40">
        <v>0.14000000000000001</v>
      </c>
      <c r="T12" s="21">
        <v>-0.02</v>
      </c>
      <c r="U12" s="41">
        <v>-0.09</v>
      </c>
      <c r="V12" s="11">
        <v>0</v>
      </c>
      <c r="W12" s="42">
        <v>-0.4</v>
      </c>
      <c r="X12" s="1"/>
      <c r="Y12" s="1"/>
      <c r="Z12" s="1"/>
      <c r="AA12" s="1"/>
      <c r="AB12" s="1"/>
    </row>
    <row r="13" spans="1:28" x14ac:dyDescent="0.3">
      <c r="A13" s="4">
        <v>45078</v>
      </c>
      <c r="B13" s="1" t="s">
        <v>24</v>
      </c>
      <c r="C13" s="1">
        <v>2023</v>
      </c>
      <c r="D13" s="1">
        <v>6</v>
      </c>
      <c r="E13" s="1">
        <v>300</v>
      </c>
      <c r="F13" s="1">
        <v>330</v>
      </c>
      <c r="G13" s="1">
        <v>3.6</v>
      </c>
      <c r="H13" s="1"/>
      <c r="I13" s="1">
        <v>89.7</v>
      </c>
      <c r="J13" s="1">
        <v>257</v>
      </c>
      <c r="K13" s="1"/>
      <c r="L13" s="1">
        <v>477</v>
      </c>
      <c r="M13" s="1">
        <v>344</v>
      </c>
      <c r="N13" s="1">
        <v>129</v>
      </c>
      <c r="O13" s="1">
        <v>239</v>
      </c>
      <c r="P13" s="1">
        <v>300</v>
      </c>
      <c r="Q13" s="1">
        <v>330</v>
      </c>
      <c r="R13" s="30">
        <v>0.01</v>
      </c>
      <c r="S13" s="43">
        <v>-0.01</v>
      </c>
      <c r="T13" s="44">
        <v>-0.28000000000000003</v>
      </c>
      <c r="U13" s="45">
        <v>-0.11</v>
      </c>
      <c r="V13" s="34">
        <v>-0.35</v>
      </c>
      <c r="W13" s="11">
        <v>0</v>
      </c>
      <c r="X13" s="1"/>
      <c r="Y13" s="1"/>
      <c r="Z13" s="1"/>
      <c r="AA13" s="1"/>
      <c r="AB13" s="1"/>
    </row>
    <row r="14" spans="1:28" x14ac:dyDescent="0.3">
      <c r="A14" s="4">
        <v>45108</v>
      </c>
      <c r="B14" s="1" t="s">
        <v>25</v>
      </c>
      <c r="C14" s="1">
        <v>2023</v>
      </c>
      <c r="D14" s="1">
        <v>7</v>
      </c>
      <c r="E14" s="1">
        <v>300</v>
      </c>
      <c r="F14" s="1">
        <v>330</v>
      </c>
      <c r="G14" s="1">
        <v>3.5</v>
      </c>
      <c r="H14" s="1"/>
      <c r="I14" s="1">
        <v>82.8</v>
      </c>
      <c r="J14" s="1">
        <v>252</v>
      </c>
      <c r="K14" s="1"/>
      <c r="L14" s="1">
        <v>355</v>
      </c>
      <c r="M14" s="1">
        <v>266</v>
      </c>
      <c r="N14" s="1">
        <v>126</v>
      </c>
      <c r="O14" s="1">
        <v>177</v>
      </c>
      <c r="P14" s="1">
        <v>300</v>
      </c>
      <c r="Q14" s="1">
        <v>330</v>
      </c>
      <c r="R14" s="46">
        <v>-0.04</v>
      </c>
      <c r="S14" s="47">
        <v>-0.08</v>
      </c>
      <c r="T14" s="21">
        <v>-0.02</v>
      </c>
      <c r="U14" s="48">
        <v>-0.26</v>
      </c>
      <c r="V14" s="11">
        <v>0</v>
      </c>
      <c r="W14" s="11">
        <v>0</v>
      </c>
      <c r="X14" s="1"/>
      <c r="Y14" s="1"/>
      <c r="Z14" s="1"/>
      <c r="AA14" s="1"/>
      <c r="AB14" s="1"/>
    </row>
    <row r="15" spans="1:28" x14ac:dyDescent="0.3">
      <c r="A15" s="4">
        <v>45139</v>
      </c>
      <c r="B15" s="1" t="s">
        <v>26</v>
      </c>
      <c r="C15" s="1">
        <v>2023</v>
      </c>
      <c r="D15" s="1">
        <v>8</v>
      </c>
      <c r="E15" s="1">
        <v>250</v>
      </c>
      <c r="F15" s="1">
        <v>280</v>
      </c>
      <c r="G15" s="1">
        <v>3.4</v>
      </c>
      <c r="H15" s="1"/>
      <c r="I15" s="1">
        <v>79.8</v>
      </c>
      <c r="J15" s="1">
        <v>245</v>
      </c>
      <c r="K15" s="1"/>
      <c r="L15" s="1">
        <v>448</v>
      </c>
      <c r="M15" s="1">
        <v>324</v>
      </c>
      <c r="N15" s="1">
        <v>122</v>
      </c>
      <c r="O15" s="1">
        <v>224</v>
      </c>
      <c r="P15" s="1">
        <v>250</v>
      </c>
      <c r="Q15" s="1">
        <v>280</v>
      </c>
      <c r="R15" s="49">
        <v>-0.01</v>
      </c>
      <c r="S15" s="12">
        <v>-0.04</v>
      </c>
      <c r="T15" s="37">
        <v>-0.03</v>
      </c>
      <c r="U15" s="50">
        <v>0.26</v>
      </c>
      <c r="V15" s="51">
        <v>-0.17</v>
      </c>
      <c r="W15" s="52">
        <v>-0.15</v>
      </c>
      <c r="X15" s="1"/>
      <c r="Y15" s="1"/>
      <c r="Z15" s="1"/>
      <c r="AA15" s="1"/>
      <c r="AB15" s="1"/>
    </row>
    <row r="16" spans="1:28" x14ac:dyDescent="0.3">
      <c r="A16" s="4">
        <v>45170</v>
      </c>
      <c r="B16" s="1" t="s">
        <v>27</v>
      </c>
      <c r="C16" s="1">
        <v>2023</v>
      </c>
      <c r="D16" s="1">
        <v>9</v>
      </c>
      <c r="E16" s="1">
        <v>250</v>
      </c>
      <c r="F16" s="1">
        <v>280</v>
      </c>
      <c r="G16" s="1">
        <v>3.4</v>
      </c>
      <c r="H16" s="1"/>
      <c r="I16" s="1">
        <v>72.2</v>
      </c>
      <c r="J16" s="1">
        <v>274</v>
      </c>
      <c r="K16" s="1"/>
      <c r="L16" s="1">
        <v>451</v>
      </c>
      <c r="M16" s="1">
        <v>331</v>
      </c>
      <c r="N16" s="1">
        <v>137</v>
      </c>
      <c r="O16" s="1">
        <v>225</v>
      </c>
      <c r="P16" s="1">
        <v>250</v>
      </c>
      <c r="Q16" s="1">
        <v>280</v>
      </c>
      <c r="R16" s="21">
        <v>-0.02</v>
      </c>
      <c r="S16" s="53">
        <v>-0.1</v>
      </c>
      <c r="T16" s="54">
        <v>0.12</v>
      </c>
      <c r="U16" s="30">
        <v>0.01</v>
      </c>
      <c r="V16" s="11">
        <v>0</v>
      </c>
      <c r="W16" s="11">
        <v>0</v>
      </c>
      <c r="X16" s="1"/>
      <c r="Y16" s="1"/>
      <c r="Z16" s="1"/>
      <c r="AA16" s="1"/>
      <c r="AB16" s="1"/>
    </row>
    <row r="17" spans="1:28" x14ac:dyDescent="0.3">
      <c r="A17" s="4">
        <v>45200</v>
      </c>
      <c r="B17" s="1" t="s">
        <v>28</v>
      </c>
      <c r="C17" s="1">
        <v>2023</v>
      </c>
      <c r="D17" s="1">
        <v>10</v>
      </c>
      <c r="E17" s="1">
        <v>250</v>
      </c>
      <c r="F17" s="1">
        <v>280</v>
      </c>
      <c r="G17" s="1">
        <v>3.3</v>
      </c>
      <c r="H17" s="1"/>
      <c r="I17" s="1">
        <v>80</v>
      </c>
      <c r="J17" s="1">
        <v>371</v>
      </c>
      <c r="K17" s="1"/>
      <c r="L17" s="1">
        <v>377</v>
      </c>
      <c r="M17" s="1">
        <v>301</v>
      </c>
      <c r="N17" s="1">
        <v>185</v>
      </c>
      <c r="O17" s="1">
        <v>188</v>
      </c>
      <c r="P17" s="1">
        <v>250</v>
      </c>
      <c r="Q17" s="1">
        <v>280</v>
      </c>
      <c r="R17" s="55">
        <v>-0.01</v>
      </c>
      <c r="S17" s="56">
        <v>0.11</v>
      </c>
      <c r="T17" s="57">
        <v>0.35</v>
      </c>
      <c r="U17" s="51">
        <v>-0.16</v>
      </c>
      <c r="V17" s="11">
        <v>0</v>
      </c>
      <c r="W17" s="11">
        <v>0</v>
      </c>
      <c r="X17" s="1"/>
      <c r="Y17" s="1"/>
      <c r="Z17" s="1"/>
      <c r="AA17" s="1"/>
      <c r="AB17" s="1"/>
    </row>
    <row r="18" spans="1:28" x14ac:dyDescent="0.3">
      <c r="A18" s="4">
        <v>45231</v>
      </c>
      <c r="B18" s="1" t="s">
        <v>29</v>
      </c>
      <c r="C18" s="1">
        <v>2023</v>
      </c>
      <c r="D18" s="1">
        <v>11</v>
      </c>
      <c r="E18" s="1">
        <v>300</v>
      </c>
      <c r="F18" s="1">
        <v>280</v>
      </c>
      <c r="G18" s="1">
        <v>3.3</v>
      </c>
      <c r="H18" s="1"/>
      <c r="I18" s="1">
        <v>63.7</v>
      </c>
      <c r="J18" s="1">
        <v>392</v>
      </c>
      <c r="K18" s="1"/>
      <c r="L18" s="1">
        <v>507</v>
      </c>
      <c r="M18" s="1">
        <v>386</v>
      </c>
      <c r="N18" s="1">
        <v>196</v>
      </c>
      <c r="O18" s="1">
        <v>253</v>
      </c>
      <c r="P18" s="1">
        <v>300</v>
      </c>
      <c r="Q18" s="1">
        <v>280</v>
      </c>
      <c r="R18" s="55">
        <v>-0.02</v>
      </c>
      <c r="S18" s="58">
        <v>-0.2</v>
      </c>
      <c r="T18" s="59">
        <v>0.06</v>
      </c>
      <c r="U18" s="60">
        <v>0.34</v>
      </c>
      <c r="V18" s="61">
        <v>0.2</v>
      </c>
      <c r="W18" s="11">
        <v>0</v>
      </c>
      <c r="X18" s="1"/>
      <c r="Y18" s="1"/>
      <c r="Z18" s="1"/>
      <c r="AA18" s="1"/>
      <c r="AB18" s="1"/>
    </row>
    <row r="19" spans="1:28" x14ac:dyDescent="0.3">
      <c r="A19" s="4">
        <v>45261</v>
      </c>
      <c r="B19" s="1" t="s">
        <v>30</v>
      </c>
      <c r="C19" s="1">
        <v>2023</v>
      </c>
      <c r="D19" s="1">
        <v>12</v>
      </c>
      <c r="E19" s="1">
        <v>300</v>
      </c>
      <c r="F19" s="1">
        <v>330</v>
      </c>
      <c r="G19" s="1">
        <v>3.2</v>
      </c>
      <c r="H19" s="1"/>
      <c r="I19" s="1">
        <v>57.3</v>
      </c>
      <c r="J19" s="1">
        <v>424</v>
      </c>
      <c r="K19" s="1"/>
      <c r="L19" s="1">
        <v>581</v>
      </c>
      <c r="M19" s="1">
        <v>438</v>
      </c>
      <c r="N19" s="1">
        <v>212</v>
      </c>
      <c r="O19" s="1">
        <v>290</v>
      </c>
      <c r="P19" s="1">
        <v>300</v>
      </c>
      <c r="Q19" s="1">
        <v>330</v>
      </c>
      <c r="R19" s="37">
        <v>-0.03</v>
      </c>
      <c r="S19" s="62">
        <v>-0.1</v>
      </c>
      <c r="T19" s="63">
        <v>0.08</v>
      </c>
      <c r="U19" s="64">
        <v>0.15</v>
      </c>
      <c r="V19" s="11">
        <v>0</v>
      </c>
      <c r="W19" s="65">
        <v>0.18</v>
      </c>
      <c r="X19" s="1"/>
      <c r="Y19" s="1"/>
      <c r="Z19" s="1"/>
      <c r="AA19" s="1"/>
      <c r="AB19" s="1"/>
    </row>
    <row r="20" spans="1:28" x14ac:dyDescent="0.3">
      <c r="A20" s="4">
        <v>45292</v>
      </c>
      <c r="B20" s="1" t="s">
        <v>31</v>
      </c>
      <c r="C20" s="1">
        <v>2024</v>
      </c>
      <c r="D20" s="1">
        <v>1</v>
      </c>
      <c r="E20" s="1">
        <v>310</v>
      </c>
      <c r="F20" s="1">
        <v>330</v>
      </c>
      <c r="G20" s="1">
        <v>3</v>
      </c>
      <c r="H20" s="1"/>
      <c r="I20" s="1">
        <v>71.5</v>
      </c>
      <c r="J20" s="1">
        <v>373</v>
      </c>
      <c r="K20" s="1"/>
      <c r="L20" s="1">
        <v>464</v>
      </c>
      <c r="M20" s="1">
        <v>356</v>
      </c>
      <c r="N20" s="1">
        <v>186</v>
      </c>
      <c r="O20" s="1">
        <v>232</v>
      </c>
      <c r="P20" s="1">
        <v>310</v>
      </c>
      <c r="Q20" s="1">
        <v>330</v>
      </c>
      <c r="R20" s="66">
        <v>-0.06</v>
      </c>
      <c r="S20" s="67">
        <v>0.25</v>
      </c>
      <c r="T20" s="68">
        <v>-0.12</v>
      </c>
      <c r="U20" s="69">
        <v>-0.2</v>
      </c>
      <c r="V20" s="70">
        <v>0.03</v>
      </c>
      <c r="W20" s="11">
        <v>0</v>
      </c>
      <c r="X20" s="1" t="s">
        <v>32</v>
      </c>
      <c r="Y20" s="1">
        <v>330</v>
      </c>
      <c r="Z20" s="1" t="s">
        <v>33</v>
      </c>
      <c r="AA20" s="1">
        <v>308.33333329999999</v>
      </c>
      <c r="AB20" s="1">
        <v>315</v>
      </c>
    </row>
    <row r="21" spans="1:28" ht="13.5" customHeight="1" x14ac:dyDescent="0.3">
      <c r="A21" s="4">
        <v>45323</v>
      </c>
      <c r="B21" s="1" t="s">
        <v>34</v>
      </c>
      <c r="C21" s="1">
        <v>2024</v>
      </c>
      <c r="D21" s="1">
        <v>2</v>
      </c>
      <c r="E21" s="1">
        <v>310</v>
      </c>
      <c r="F21" s="1">
        <v>330</v>
      </c>
      <c r="G21" s="1">
        <v>3</v>
      </c>
      <c r="H21" s="1"/>
      <c r="I21" s="1">
        <v>74.599999999999994</v>
      </c>
      <c r="J21" s="1">
        <v>417</v>
      </c>
      <c r="K21" s="1"/>
      <c r="L21" s="1">
        <v>442</v>
      </c>
      <c r="M21" s="1">
        <v>349</v>
      </c>
      <c r="N21" s="1">
        <v>208</v>
      </c>
      <c r="O21" s="1">
        <v>221</v>
      </c>
      <c r="P21" s="1">
        <v>310</v>
      </c>
      <c r="Q21" s="1">
        <v>330</v>
      </c>
      <c r="R21" s="29">
        <v>0.02</v>
      </c>
      <c r="S21" s="71">
        <v>0.04</v>
      </c>
      <c r="T21" s="72">
        <v>0.12</v>
      </c>
      <c r="U21" s="73">
        <v>-0.05</v>
      </c>
      <c r="V21" s="11">
        <v>0</v>
      </c>
      <c r="W21" s="11">
        <v>0</v>
      </c>
      <c r="X21" s="1">
        <v>330</v>
      </c>
      <c r="Y21" s="1">
        <v>330</v>
      </c>
      <c r="Z21" s="1" t="s">
        <v>33</v>
      </c>
      <c r="AA21" s="1">
        <v>305</v>
      </c>
      <c r="AB21" s="1">
        <v>285</v>
      </c>
    </row>
    <row r="22" spans="1:28" x14ac:dyDescent="0.3">
      <c r="A22" s="4">
        <v>45352</v>
      </c>
      <c r="B22" s="1" t="s">
        <v>35</v>
      </c>
      <c r="C22" s="1">
        <v>2024</v>
      </c>
      <c r="D22" s="1">
        <v>3</v>
      </c>
      <c r="E22" s="1">
        <v>300</v>
      </c>
      <c r="F22" s="1">
        <v>330</v>
      </c>
      <c r="G22" s="1">
        <v>2.9</v>
      </c>
      <c r="H22" s="1"/>
      <c r="I22" s="1">
        <v>77.3</v>
      </c>
      <c r="J22" s="1">
        <v>381</v>
      </c>
      <c r="K22" s="1"/>
      <c r="L22" s="1">
        <v>456</v>
      </c>
      <c r="M22" s="1">
        <v>352</v>
      </c>
      <c r="N22" s="1">
        <v>191</v>
      </c>
      <c r="O22" s="1">
        <v>228</v>
      </c>
      <c r="P22" s="1">
        <v>300</v>
      </c>
      <c r="Q22" s="1">
        <v>330</v>
      </c>
      <c r="R22" s="16">
        <v>-0.04</v>
      </c>
      <c r="S22" s="70">
        <v>0.04</v>
      </c>
      <c r="T22" s="74">
        <v>-0.09</v>
      </c>
      <c r="U22" s="75">
        <v>0.03</v>
      </c>
      <c r="V22" s="46">
        <v>-0.03</v>
      </c>
      <c r="W22" s="11">
        <v>0</v>
      </c>
      <c r="X22" s="1">
        <v>330</v>
      </c>
      <c r="Y22" s="1">
        <v>330</v>
      </c>
      <c r="Z22" s="1" t="s">
        <v>33</v>
      </c>
      <c r="AA22" s="1">
        <v>305</v>
      </c>
      <c r="AB22" s="1">
        <v>286.875</v>
      </c>
    </row>
    <row r="23" spans="1:28" x14ac:dyDescent="0.3">
      <c r="A23" s="4">
        <v>45383</v>
      </c>
      <c r="B23" s="1" t="s">
        <v>36</v>
      </c>
      <c r="C23" s="1">
        <v>2024</v>
      </c>
      <c r="D23" s="1">
        <v>4</v>
      </c>
      <c r="E23" s="1">
        <v>300</v>
      </c>
      <c r="F23" s="1">
        <v>330</v>
      </c>
      <c r="G23" s="1">
        <v>2.7</v>
      </c>
      <c r="H23" s="1"/>
      <c r="I23" s="1">
        <v>75.2</v>
      </c>
      <c r="J23" s="1">
        <v>371</v>
      </c>
      <c r="K23" s="1"/>
      <c r="L23" s="1">
        <v>551</v>
      </c>
      <c r="M23" s="1">
        <v>410</v>
      </c>
      <c r="N23" s="1">
        <v>185</v>
      </c>
      <c r="O23" s="1">
        <v>276</v>
      </c>
      <c r="P23" s="1">
        <v>300</v>
      </c>
      <c r="Q23" s="1">
        <v>330</v>
      </c>
      <c r="R23" s="76">
        <v>-0.05</v>
      </c>
      <c r="S23" s="37">
        <v>-0.03</v>
      </c>
      <c r="T23" s="37">
        <v>-0.03</v>
      </c>
      <c r="U23" s="77">
        <v>0.21</v>
      </c>
      <c r="V23" s="11">
        <v>0</v>
      </c>
      <c r="W23" s="11">
        <v>0</v>
      </c>
      <c r="X23" s="1">
        <v>330</v>
      </c>
      <c r="Y23" s="1">
        <v>330</v>
      </c>
      <c r="Z23" s="1" t="s">
        <v>33</v>
      </c>
      <c r="AA23" s="1">
        <v>313.625</v>
      </c>
      <c r="AB23" s="1">
        <v>297.5</v>
      </c>
    </row>
    <row r="24" spans="1:28" x14ac:dyDescent="0.3">
      <c r="A24" s="4">
        <v>45413</v>
      </c>
      <c r="B24" s="1" t="s">
        <v>37</v>
      </c>
      <c r="C24" s="1">
        <v>2024</v>
      </c>
      <c r="D24" s="1">
        <v>5</v>
      </c>
      <c r="E24" s="1">
        <v>260</v>
      </c>
      <c r="F24" s="1">
        <v>300</v>
      </c>
      <c r="G24" s="1">
        <v>2.7</v>
      </c>
      <c r="H24" s="1"/>
      <c r="I24" s="1">
        <v>70.900000000000006</v>
      </c>
      <c r="J24" s="1">
        <v>362</v>
      </c>
      <c r="K24" s="1"/>
      <c r="L24" s="1">
        <v>514</v>
      </c>
      <c r="M24" s="1">
        <v>385</v>
      </c>
      <c r="N24" s="1">
        <v>181</v>
      </c>
      <c r="O24" s="1">
        <v>257</v>
      </c>
      <c r="P24" s="1">
        <v>260</v>
      </c>
      <c r="Q24" s="1">
        <v>300</v>
      </c>
      <c r="R24" s="37">
        <v>-0.03</v>
      </c>
      <c r="S24" s="25">
        <v>-0.06</v>
      </c>
      <c r="T24" s="21">
        <v>-0.02</v>
      </c>
      <c r="U24" s="78">
        <v>-7.0000000000000007E-2</v>
      </c>
      <c r="V24" s="79">
        <v>-0.13</v>
      </c>
      <c r="W24" s="80">
        <v>-0.09</v>
      </c>
      <c r="X24" s="1">
        <v>319</v>
      </c>
      <c r="Y24" s="1">
        <v>230</v>
      </c>
      <c r="Z24" s="1" t="s">
        <v>33</v>
      </c>
      <c r="AA24" s="1" t="e">
        <v>#DIV/0!</v>
      </c>
      <c r="AB24" s="1" t="e">
        <v>#DIV/0!</v>
      </c>
    </row>
    <row r="25" spans="1:28" x14ac:dyDescent="0.3">
      <c r="A25" s="4">
        <v>45444</v>
      </c>
      <c r="B25" s="1" t="s">
        <v>38</v>
      </c>
      <c r="C25" s="1">
        <v>2024</v>
      </c>
      <c r="D25" s="1">
        <v>6</v>
      </c>
      <c r="E25" s="1">
        <v>230</v>
      </c>
      <c r="F25" s="1">
        <v>270</v>
      </c>
      <c r="G25" s="1">
        <v>2.6</v>
      </c>
      <c r="H25" s="1"/>
      <c r="I25" s="1">
        <v>80</v>
      </c>
      <c r="J25" s="1">
        <v>337</v>
      </c>
      <c r="K25" s="1"/>
      <c r="L25" s="1">
        <v>630</v>
      </c>
      <c r="M25" s="1">
        <v>454</v>
      </c>
      <c r="N25" s="1">
        <v>169</v>
      </c>
      <c r="O25" s="1">
        <v>315</v>
      </c>
      <c r="P25" s="1">
        <v>230</v>
      </c>
      <c r="Q25" s="1">
        <v>270</v>
      </c>
      <c r="R25" s="43">
        <v>-0.01</v>
      </c>
      <c r="S25" s="81">
        <v>0.13</v>
      </c>
      <c r="T25" s="78">
        <v>-7.0000000000000007E-2</v>
      </c>
      <c r="U25" s="82">
        <v>0.23</v>
      </c>
      <c r="V25" s="83">
        <v>-0.12</v>
      </c>
      <c r="W25" s="62">
        <v>-0.1</v>
      </c>
      <c r="X25" s="1" t="s">
        <v>32</v>
      </c>
      <c r="Y25" s="1" t="s">
        <v>33</v>
      </c>
      <c r="Z25" s="1" t="s">
        <v>33</v>
      </c>
      <c r="AA25" s="1">
        <v>296.2</v>
      </c>
      <c r="AB25" s="1">
        <v>260</v>
      </c>
    </row>
    <row r="26" spans="1:28" x14ac:dyDescent="0.3">
      <c r="A26" s="4">
        <v>45474</v>
      </c>
      <c r="B26" s="1" t="s">
        <v>39</v>
      </c>
      <c r="C26" s="1">
        <v>2024</v>
      </c>
      <c r="D26" s="1">
        <v>7</v>
      </c>
      <c r="E26" s="1">
        <v>258</v>
      </c>
      <c r="F26" s="1">
        <v>272</v>
      </c>
      <c r="G26" s="1">
        <v>2.7</v>
      </c>
      <c r="H26" s="1"/>
      <c r="I26" s="1">
        <v>75.7</v>
      </c>
      <c r="J26" s="1">
        <v>377</v>
      </c>
      <c r="K26" s="1"/>
      <c r="L26" s="1">
        <v>664</v>
      </c>
      <c r="M26" s="1">
        <v>482</v>
      </c>
      <c r="N26" s="1">
        <v>188</v>
      </c>
      <c r="O26" s="1">
        <v>332</v>
      </c>
      <c r="P26" s="1">
        <v>258</v>
      </c>
      <c r="Q26" s="1">
        <v>272</v>
      </c>
      <c r="R26" s="13">
        <v>0.03</v>
      </c>
      <c r="S26" s="84">
        <v>-0.05</v>
      </c>
      <c r="T26" s="72">
        <v>0.12</v>
      </c>
      <c r="U26" s="85">
        <v>0.05</v>
      </c>
      <c r="V26" s="86">
        <v>0.12</v>
      </c>
      <c r="W26" s="30">
        <v>0.01</v>
      </c>
      <c r="X26" s="1" t="s">
        <v>32</v>
      </c>
      <c r="Y26" s="1" t="s">
        <v>33</v>
      </c>
      <c r="Z26" s="1" t="s">
        <v>33</v>
      </c>
      <c r="AA26" s="1">
        <v>295</v>
      </c>
      <c r="AB26" s="1">
        <v>260</v>
      </c>
    </row>
    <row r="27" spans="1:28" x14ac:dyDescent="0.3">
      <c r="A27" s="4">
        <v>45505</v>
      </c>
      <c r="B27" s="1" t="s">
        <v>40</v>
      </c>
      <c r="C27" s="1">
        <v>2024</v>
      </c>
      <c r="D27" s="1">
        <v>8</v>
      </c>
      <c r="E27" s="1">
        <v>250</v>
      </c>
      <c r="F27" s="1">
        <v>277</v>
      </c>
      <c r="G27" s="1">
        <v>3</v>
      </c>
      <c r="H27" s="1"/>
      <c r="I27" s="1">
        <v>75</v>
      </c>
      <c r="J27" s="1">
        <v>403</v>
      </c>
      <c r="K27" s="1"/>
      <c r="L27" s="1">
        <v>698</v>
      </c>
      <c r="M27" s="1">
        <v>508</v>
      </c>
      <c r="N27" s="1">
        <v>202</v>
      </c>
      <c r="O27" s="1">
        <v>349</v>
      </c>
      <c r="P27" s="1">
        <v>250</v>
      </c>
      <c r="Q27" s="1">
        <v>277</v>
      </c>
      <c r="R27" s="87">
        <v>0.11</v>
      </c>
      <c r="S27" s="43">
        <v>-0.01</v>
      </c>
      <c r="T27" s="88">
        <v>7.0000000000000007E-2</v>
      </c>
      <c r="U27" s="89">
        <v>0.05</v>
      </c>
      <c r="V27" s="37">
        <v>-0.03</v>
      </c>
      <c r="W27" s="29">
        <v>0.02</v>
      </c>
      <c r="X27" s="1" t="s">
        <v>32</v>
      </c>
      <c r="Y27" s="1" t="s">
        <v>33</v>
      </c>
      <c r="Z27" s="1" t="s">
        <v>33</v>
      </c>
      <c r="AA27" s="1">
        <v>334.54545450000001</v>
      </c>
      <c r="AB27" s="1">
        <v>270</v>
      </c>
    </row>
    <row r="28" spans="1:28" x14ac:dyDescent="0.3">
      <c r="A28" s="4">
        <v>45536</v>
      </c>
      <c r="B28" s="1" t="s">
        <v>41</v>
      </c>
      <c r="C28" s="1">
        <v>2024</v>
      </c>
      <c r="D28" s="1">
        <v>9</v>
      </c>
      <c r="E28" s="1">
        <v>229</v>
      </c>
      <c r="F28" s="1">
        <v>252</v>
      </c>
      <c r="G28" s="1">
        <v>3.4</v>
      </c>
      <c r="H28" s="1"/>
      <c r="I28" s="1">
        <v>72.5</v>
      </c>
      <c r="J28" s="1">
        <v>401</v>
      </c>
      <c r="K28" s="1"/>
      <c r="L28" s="1">
        <v>534</v>
      </c>
      <c r="M28" s="1">
        <v>405</v>
      </c>
      <c r="N28" s="1">
        <v>200</v>
      </c>
      <c r="O28" s="1">
        <v>267</v>
      </c>
      <c r="P28" s="1">
        <v>229</v>
      </c>
      <c r="Q28" s="1">
        <v>252</v>
      </c>
      <c r="R28" s="72">
        <v>0.12</v>
      </c>
      <c r="S28" s="46">
        <v>-0.03</v>
      </c>
      <c r="T28" s="90">
        <v>-0.01</v>
      </c>
      <c r="U28" s="91">
        <v>-0.23</v>
      </c>
      <c r="V28" s="74">
        <v>-0.09</v>
      </c>
      <c r="W28" s="80">
        <v>-0.09</v>
      </c>
      <c r="X28" s="1" t="s">
        <v>32</v>
      </c>
      <c r="Y28" s="1" t="s">
        <v>33</v>
      </c>
      <c r="Z28" s="1" t="s">
        <v>33</v>
      </c>
      <c r="AA28" s="1">
        <v>366.25</v>
      </c>
      <c r="AB28" s="1">
        <v>270</v>
      </c>
    </row>
    <row r="29" spans="1:28" x14ac:dyDescent="0.3">
      <c r="A29" s="4">
        <v>45566</v>
      </c>
      <c r="B29" s="1" t="s">
        <v>42</v>
      </c>
      <c r="C29" s="1">
        <v>2024</v>
      </c>
      <c r="D29" s="1">
        <v>10</v>
      </c>
      <c r="E29" s="1">
        <v>259</v>
      </c>
      <c r="F29" s="1">
        <v>265</v>
      </c>
      <c r="G29" s="1">
        <v>3.6</v>
      </c>
      <c r="H29" s="1"/>
      <c r="I29" s="1">
        <v>68.599999999999994</v>
      </c>
      <c r="J29" s="1">
        <v>426</v>
      </c>
      <c r="K29" s="1"/>
      <c r="L29" s="1">
        <v>469</v>
      </c>
      <c r="M29" s="1">
        <v>368</v>
      </c>
      <c r="N29" s="1">
        <v>213</v>
      </c>
      <c r="O29" s="1">
        <v>234</v>
      </c>
      <c r="P29" s="1">
        <v>259</v>
      </c>
      <c r="Q29" s="1">
        <v>270</v>
      </c>
      <c r="R29" s="85">
        <v>0.05</v>
      </c>
      <c r="S29" s="84">
        <v>-0.05</v>
      </c>
      <c r="T29" s="59">
        <v>0.06</v>
      </c>
      <c r="U29" s="68">
        <v>-0.12</v>
      </c>
      <c r="V29" s="92">
        <v>0.13</v>
      </c>
      <c r="W29" s="88">
        <v>7.0000000000000007E-2</v>
      </c>
      <c r="X29" s="1" t="s">
        <v>32</v>
      </c>
      <c r="Y29" s="1" t="s">
        <v>33</v>
      </c>
      <c r="Z29" s="1" t="s">
        <v>33</v>
      </c>
      <c r="AA29" s="1">
        <v>329.89473679999998</v>
      </c>
      <c r="AB29" s="1">
        <v>330</v>
      </c>
    </row>
    <row r="30" spans="1:28" x14ac:dyDescent="0.3">
      <c r="A30" s="4">
        <v>45597</v>
      </c>
      <c r="B30" s="1" t="s">
        <v>43</v>
      </c>
      <c r="C30" s="1">
        <v>2024</v>
      </c>
      <c r="D30" s="1">
        <v>11</v>
      </c>
      <c r="E30" s="1">
        <v>265</v>
      </c>
      <c r="F30" s="1">
        <v>270</v>
      </c>
      <c r="G30" s="1">
        <v>2.8</v>
      </c>
      <c r="H30" s="1"/>
      <c r="I30" s="1">
        <v>69.2</v>
      </c>
      <c r="J30" s="1">
        <v>427</v>
      </c>
      <c r="K30" s="1"/>
      <c r="L30" s="1">
        <v>416</v>
      </c>
      <c r="M30" s="1">
        <v>335</v>
      </c>
      <c r="N30" s="1">
        <v>214</v>
      </c>
      <c r="O30" s="1">
        <v>208</v>
      </c>
      <c r="P30" s="1">
        <v>265</v>
      </c>
      <c r="Q30" s="1">
        <v>270</v>
      </c>
      <c r="R30" s="93">
        <v>-0.22</v>
      </c>
      <c r="S30" s="30">
        <v>0.01</v>
      </c>
      <c r="T30" s="11">
        <v>0</v>
      </c>
      <c r="U30" s="94">
        <v>-0.11</v>
      </c>
      <c r="V30" s="36">
        <v>0.02</v>
      </c>
      <c r="W30" s="11">
        <v>0</v>
      </c>
      <c r="X30" s="1" t="s">
        <v>32</v>
      </c>
      <c r="Y30" s="1" t="s">
        <v>33</v>
      </c>
      <c r="Z30" s="1" t="s">
        <v>33</v>
      </c>
      <c r="AA30" s="1">
        <v>350</v>
      </c>
      <c r="AB30" s="1">
        <v>330</v>
      </c>
    </row>
    <row r="31" spans="1:28" x14ac:dyDescent="0.3">
      <c r="A31" s="4">
        <v>45627</v>
      </c>
      <c r="B31" s="1" t="s">
        <v>44</v>
      </c>
      <c r="C31" s="1">
        <v>2024</v>
      </c>
      <c r="D31" s="1">
        <v>12</v>
      </c>
      <c r="E31" s="1">
        <v>244</v>
      </c>
      <c r="F31" s="1">
        <v>264</v>
      </c>
      <c r="G31" s="1">
        <v>2.4</v>
      </c>
      <c r="H31" s="1"/>
      <c r="I31" s="1">
        <v>70.400000000000006</v>
      </c>
      <c r="J31" s="1">
        <v>454</v>
      </c>
      <c r="K31" s="1"/>
      <c r="L31" s="1">
        <v>479</v>
      </c>
      <c r="M31" s="1">
        <v>379</v>
      </c>
      <c r="N31" s="1">
        <v>227</v>
      </c>
      <c r="O31" s="1">
        <v>239</v>
      </c>
      <c r="P31" s="1">
        <v>244</v>
      </c>
      <c r="Q31" s="1">
        <v>270</v>
      </c>
      <c r="R31" s="95">
        <v>-0.15</v>
      </c>
      <c r="S31" s="29">
        <v>0.02</v>
      </c>
      <c r="T31" s="59">
        <v>0.06</v>
      </c>
      <c r="U31" s="96">
        <v>0.15</v>
      </c>
      <c r="V31" s="74">
        <v>-0.08</v>
      </c>
      <c r="W31" s="90">
        <v>0</v>
      </c>
      <c r="X31" s="1">
        <v>328</v>
      </c>
      <c r="Y31" s="1">
        <v>335</v>
      </c>
      <c r="Z31" s="1">
        <v>342</v>
      </c>
      <c r="AA31" s="1">
        <v>295.82608699999997</v>
      </c>
      <c r="AB31" s="1">
        <v>257</v>
      </c>
    </row>
    <row r="32" spans="1:28" x14ac:dyDescent="0.3">
      <c r="A32" s="4">
        <v>45658</v>
      </c>
      <c r="B32" s="1" t="s">
        <v>45</v>
      </c>
      <c r="C32" s="1">
        <v>2025</v>
      </c>
      <c r="D32" s="1">
        <v>1</v>
      </c>
      <c r="E32" s="1"/>
      <c r="F32" s="1"/>
      <c r="G32" s="1">
        <v>3.9</v>
      </c>
      <c r="H32" s="1"/>
      <c r="I32" s="1">
        <v>71.599999999999994</v>
      </c>
      <c r="J32" s="1">
        <v>445</v>
      </c>
      <c r="K32" s="1"/>
      <c r="L32" s="1">
        <v>518</v>
      </c>
      <c r="M32" s="1">
        <v>402</v>
      </c>
      <c r="N32" s="1">
        <v>222</v>
      </c>
      <c r="O32" s="1">
        <v>259</v>
      </c>
      <c r="P32" s="1">
        <v>276</v>
      </c>
      <c r="Q32" s="1">
        <v>301</v>
      </c>
      <c r="R32" s="97">
        <v>0.65</v>
      </c>
      <c r="S32" s="29">
        <v>0.02</v>
      </c>
      <c r="T32" s="21">
        <v>-0.02</v>
      </c>
      <c r="U32" s="63">
        <v>0.08</v>
      </c>
      <c r="V32" s="92">
        <v>0.13</v>
      </c>
      <c r="W32" s="72">
        <v>0.12</v>
      </c>
      <c r="X32" s="1">
        <v>238</v>
      </c>
      <c r="Y32" s="1" t="s">
        <v>33</v>
      </c>
      <c r="Z32" s="1">
        <v>282</v>
      </c>
      <c r="AA32" s="1" t="e">
        <v>#DIV/0!</v>
      </c>
      <c r="AB32" s="1" t="e">
        <v>#DIV/0!</v>
      </c>
    </row>
    <row r="33" spans="1:28" x14ac:dyDescent="0.3">
      <c r="A33" s="4">
        <v>45689</v>
      </c>
      <c r="B33" s="1" t="s">
        <v>46</v>
      </c>
      <c r="C33" s="1">
        <v>2025</v>
      </c>
      <c r="D33" s="1">
        <v>2</v>
      </c>
      <c r="E33" s="1">
        <v>308</v>
      </c>
      <c r="F33" s="1">
        <v>309</v>
      </c>
      <c r="G33" s="1">
        <v>4.0999999999999996</v>
      </c>
      <c r="H33" s="1"/>
      <c r="I33" s="1">
        <v>67</v>
      </c>
      <c r="J33" s="1">
        <v>471</v>
      </c>
      <c r="K33" s="1"/>
      <c r="L33" s="1">
        <v>586</v>
      </c>
      <c r="M33" s="1">
        <v>449</v>
      </c>
      <c r="N33" s="1">
        <v>235</v>
      </c>
      <c r="O33" s="1">
        <v>293</v>
      </c>
      <c r="P33" s="1">
        <v>308</v>
      </c>
      <c r="Q33" s="1">
        <v>310</v>
      </c>
      <c r="R33" s="89">
        <v>0.05</v>
      </c>
      <c r="S33" s="66">
        <v>-0.06</v>
      </c>
      <c r="T33" s="59">
        <v>0.06</v>
      </c>
      <c r="U33" s="92">
        <v>0.13</v>
      </c>
      <c r="V33" s="72">
        <v>0.12</v>
      </c>
      <c r="W33" s="13">
        <v>0.03</v>
      </c>
      <c r="X33" s="1" t="s">
        <v>32</v>
      </c>
      <c r="Y33" s="1">
        <v>319</v>
      </c>
      <c r="Z33" s="1">
        <v>304</v>
      </c>
      <c r="AA33" s="1">
        <v>310</v>
      </c>
      <c r="AB33" s="1" t="e">
        <v>#DIV/0!</v>
      </c>
    </row>
    <row r="34" spans="1:28" x14ac:dyDescent="0.3">
      <c r="A34" s="4">
        <v>45717</v>
      </c>
      <c r="B34" s="1" t="s">
        <v>47</v>
      </c>
      <c r="C34" s="1">
        <v>2025</v>
      </c>
      <c r="D34" s="1">
        <v>3</v>
      </c>
      <c r="E34" s="1">
        <v>301</v>
      </c>
      <c r="F34" s="1">
        <v>311</v>
      </c>
      <c r="G34" s="1">
        <v>3.8</v>
      </c>
      <c r="H34" s="1"/>
      <c r="I34" s="1">
        <v>66.5</v>
      </c>
      <c r="J34" s="1">
        <v>445</v>
      </c>
      <c r="K34" s="1"/>
      <c r="L34" s="1">
        <v>350</v>
      </c>
      <c r="M34" s="1">
        <v>296</v>
      </c>
      <c r="N34" s="1">
        <v>222</v>
      </c>
      <c r="O34" s="1">
        <v>175</v>
      </c>
      <c r="P34" s="1">
        <v>301</v>
      </c>
      <c r="Q34" s="1">
        <v>311</v>
      </c>
      <c r="R34" s="98">
        <v>-7.0000000000000007E-2</v>
      </c>
      <c r="S34" s="49">
        <v>-0.01</v>
      </c>
      <c r="T34" s="25">
        <v>-0.06</v>
      </c>
      <c r="U34" s="99">
        <v>-0.4</v>
      </c>
      <c r="V34" s="21">
        <v>-0.02</v>
      </c>
      <c r="W34" s="11">
        <v>0</v>
      </c>
      <c r="X34" s="1">
        <v>335</v>
      </c>
      <c r="Y34" s="1">
        <v>321</v>
      </c>
      <c r="Z34" s="1">
        <v>327</v>
      </c>
      <c r="AA34" s="1">
        <v>318</v>
      </c>
      <c r="AB34" s="1" t="e">
        <v>#DIV/0!</v>
      </c>
    </row>
    <row r="35" spans="1:28" x14ac:dyDescent="0.3">
      <c r="A35" s="4">
        <v>45748</v>
      </c>
      <c r="B35" s="1" t="s">
        <v>48</v>
      </c>
      <c r="C35" s="1">
        <v>2025</v>
      </c>
      <c r="D35" s="1">
        <v>4</v>
      </c>
      <c r="E35" s="1">
        <v>295</v>
      </c>
      <c r="F35" s="1">
        <v>299</v>
      </c>
      <c r="G35" s="1">
        <v>3.1</v>
      </c>
      <c r="H35" s="1"/>
      <c r="I35" s="1">
        <v>55</v>
      </c>
      <c r="J35" s="1">
        <v>275</v>
      </c>
      <c r="K35" s="1"/>
      <c r="L35" s="1">
        <v>409</v>
      </c>
      <c r="M35" s="1">
        <v>305</v>
      </c>
      <c r="N35" s="1">
        <v>137</v>
      </c>
      <c r="O35" s="1">
        <v>205</v>
      </c>
      <c r="P35" s="1">
        <v>305</v>
      </c>
      <c r="Q35" s="1">
        <v>315</v>
      </c>
      <c r="R35" s="100">
        <v>-0.18</v>
      </c>
      <c r="S35" s="28">
        <v>-0.17</v>
      </c>
      <c r="T35" s="101">
        <v>-0.38</v>
      </c>
      <c r="U35" s="102">
        <v>0.17</v>
      </c>
      <c r="V35" s="39">
        <v>0.01</v>
      </c>
      <c r="W35" s="39">
        <v>0.01</v>
      </c>
      <c r="X35" s="1">
        <v>320</v>
      </c>
      <c r="Y35" s="1">
        <v>320</v>
      </c>
      <c r="Z35" s="1">
        <v>327</v>
      </c>
      <c r="AA35" s="1">
        <v>290</v>
      </c>
      <c r="AB35" s="1">
        <v>320</v>
      </c>
    </row>
    <row r="36" spans="1:28" x14ac:dyDescent="0.3">
      <c r="A36" s="4">
        <v>45778</v>
      </c>
      <c r="B36" s="1" t="s">
        <v>49</v>
      </c>
      <c r="C36" s="1">
        <v>2025</v>
      </c>
      <c r="D36" s="1">
        <v>5</v>
      </c>
      <c r="E36" s="1">
        <v>321</v>
      </c>
      <c r="F36" s="1">
        <v>325</v>
      </c>
      <c r="G36" s="1">
        <v>3.7</v>
      </c>
      <c r="H36" s="1"/>
      <c r="I36" s="1">
        <v>58.7</v>
      </c>
      <c r="J36" s="1">
        <v>279</v>
      </c>
      <c r="K36" s="1"/>
      <c r="L36" s="1">
        <v>393</v>
      </c>
      <c r="M36" s="1">
        <v>295</v>
      </c>
      <c r="N36" s="1">
        <v>140</v>
      </c>
      <c r="O36" s="1">
        <v>197</v>
      </c>
      <c r="P36" s="1">
        <v>321</v>
      </c>
      <c r="Q36" s="1">
        <v>325</v>
      </c>
      <c r="R36" s="65">
        <v>0.18</v>
      </c>
      <c r="S36" s="7">
        <v>7.0000000000000007E-2</v>
      </c>
      <c r="T36" s="29">
        <v>0.02</v>
      </c>
      <c r="U36" s="16">
        <v>-0.04</v>
      </c>
      <c r="V36" s="89">
        <v>0.05</v>
      </c>
      <c r="W36" s="70">
        <v>0.03</v>
      </c>
      <c r="X36" s="1">
        <v>330</v>
      </c>
      <c r="Y36" s="1">
        <v>334</v>
      </c>
      <c r="Z36" s="1">
        <v>338</v>
      </c>
      <c r="AA36" s="1">
        <v>330</v>
      </c>
      <c r="AB36" s="1" t="e">
        <v>#DIV/0!</v>
      </c>
    </row>
    <row r="37" spans="1:28" x14ac:dyDescent="0.3">
      <c r="A37" s="4">
        <v>45809</v>
      </c>
      <c r="B37" s="1" t="s">
        <v>50</v>
      </c>
      <c r="C37" s="1">
        <v>2025</v>
      </c>
      <c r="D37" s="1">
        <v>6</v>
      </c>
      <c r="E37" s="1">
        <v>308</v>
      </c>
      <c r="F37" s="1"/>
      <c r="G37" s="1">
        <v>3.9</v>
      </c>
      <c r="H37" s="1"/>
      <c r="I37" s="1">
        <v>65.5</v>
      </c>
      <c r="J37" s="1">
        <v>299</v>
      </c>
      <c r="K37" s="1"/>
      <c r="L37" s="1">
        <v>393</v>
      </c>
      <c r="M37" s="1">
        <v>299</v>
      </c>
      <c r="N37" s="1">
        <v>150</v>
      </c>
      <c r="O37" s="1">
        <v>197</v>
      </c>
      <c r="P37" s="1">
        <v>308</v>
      </c>
      <c r="Q37" s="1">
        <v>315</v>
      </c>
      <c r="R37" s="89">
        <v>0.05</v>
      </c>
      <c r="S37" s="103">
        <v>0.11</v>
      </c>
      <c r="T37" s="88">
        <v>7.0000000000000007E-2</v>
      </c>
      <c r="U37" s="11">
        <v>0</v>
      </c>
      <c r="V37" s="16">
        <v>-0.04</v>
      </c>
      <c r="W37" s="37">
        <v>-0.03</v>
      </c>
      <c r="X37" s="1">
        <v>340</v>
      </c>
      <c r="Y37" s="1" t="s">
        <v>33</v>
      </c>
      <c r="Z37" s="1">
        <v>330</v>
      </c>
      <c r="AA37" s="1" t="e">
        <v>#DIV/0!</v>
      </c>
      <c r="AB37" s="1">
        <v>310</v>
      </c>
    </row>
    <row r="38" spans="1:28" x14ac:dyDescent="0.3">
      <c r="A38" s="4">
        <v>45839</v>
      </c>
      <c r="B38" s="1" t="s">
        <v>51</v>
      </c>
      <c r="C38" s="1">
        <v>2025</v>
      </c>
      <c r="D38" s="1">
        <v>7</v>
      </c>
      <c r="E38" s="1">
        <v>278</v>
      </c>
      <c r="F38" s="1">
        <v>306</v>
      </c>
      <c r="G38" s="1">
        <v>3.6</v>
      </c>
      <c r="H38" s="1"/>
      <c r="I38" s="1">
        <v>65.599999999999994</v>
      </c>
      <c r="J38" s="1">
        <v>313</v>
      </c>
      <c r="K38" s="1"/>
      <c r="L38" s="1">
        <v>402</v>
      </c>
      <c r="M38" s="1">
        <v>306</v>
      </c>
      <c r="N38" s="1">
        <v>157</v>
      </c>
      <c r="O38" s="1">
        <v>201</v>
      </c>
      <c r="P38" s="1">
        <v>308</v>
      </c>
      <c r="Q38" s="1">
        <v>320</v>
      </c>
      <c r="R38" s="98">
        <v>-7.0000000000000007E-2</v>
      </c>
      <c r="S38" s="11">
        <v>0</v>
      </c>
      <c r="T38" s="89">
        <v>0.05</v>
      </c>
      <c r="U38" s="36">
        <v>0.02</v>
      </c>
      <c r="V38" s="11">
        <v>0</v>
      </c>
      <c r="W38" s="39">
        <v>0.02</v>
      </c>
      <c r="X38" s="1" t="s">
        <v>32</v>
      </c>
      <c r="Y38" s="1">
        <v>310</v>
      </c>
      <c r="Z38" s="1">
        <v>311</v>
      </c>
      <c r="AA38" s="1">
        <v>360</v>
      </c>
      <c r="AB38" s="1">
        <v>301</v>
      </c>
    </row>
    <row r="39" spans="1:28" x14ac:dyDescent="0.3">
      <c r="A39" s="4">
        <v>45870</v>
      </c>
      <c r="B39" s="1" t="s">
        <v>52</v>
      </c>
      <c r="C39" s="1">
        <v>2025</v>
      </c>
      <c r="D39" s="1">
        <v>8</v>
      </c>
      <c r="E39" s="1"/>
      <c r="F39" s="1"/>
      <c r="G39" s="1">
        <v>3</v>
      </c>
      <c r="H39" s="1"/>
      <c r="I39" s="1">
        <v>65.099999999999994</v>
      </c>
      <c r="J39" s="1">
        <v>325</v>
      </c>
      <c r="K39" s="1"/>
      <c r="L39" s="1">
        <v>404</v>
      </c>
      <c r="M39" s="1">
        <v>310</v>
      </c>
      <c r="N39" s="1">
        <v>163</v>
      </c>
      <c r="O39" s="1">
        <v>202</v>
      </c>
      <c r="P39" s="1">
        <v>370</v>
      </c>
      <c r="Q39" s="1">
        <v>370</v>
      </c>
      <c r="R39" s="28">
        <v>-0.17</v>
      </c>
      <c r="S39" s="49">
        <v>-0.01</v>
      </c>
      <c r="T39" s="20">
        <v>0.04</v>
      </c>
      <c r="U39" s="104">
        <v>0.01</v>
      </c>
      <c r="V39" s="61">
        <v>0.2</v>
      </c>
      <c r="W39" s="105">
        <v>0.16</v>
      </c>
      <c r="X39" s="1" t="s">
        <v>32</v>
      </c>
      <c r="Y39" s="1" t="s">
        <v>33</v>
      </c>
      <c r="Z39" s="1">
        <v>300</v>
      </c>
      <c r="AA39" s="1">
        <v>361.11111110000002</v>
      </c>
      <c r="AB39" s="1">
        <v>340</v>
      </c>
    </row>
    <row r="40" spans="1:28" x14ac:dyDescent="0.3">
      <c r="A40" s="4">
        <v>45901</v>
      </c>
      <c r="B40" s="1" t="s">
        <v>53</v>
      </c>
      <c r="C40" s="1">
        <v>2025</v>
      </c>
      <c r="D40" s="1">
        <v>9</v>
      </c>
      <c r="E40" s="1"/>
      <c r="F40" s="1"/>
      <c r="G40" s="1">
        <v>3.3</v>
      </c>
      <c r="H40" s="1"/>
      <c r="I40" s="1">
        <v>65.8</v>
      </c>
      <c r="J40" s="1">
        <v>324</v>
      </c>
      <c r="K40" s="1"/>
      <c r="L40" s="1">
        <v>417</v>
      </c>
      <c r="M40" s="1">
        <v>317</v>
      </c>
      <c r="N40" s="1">
        <v>162</v>
      </c>
      <c r="O40" s="1">
        <v>208</v>
      </c>
      <c r="P40" s="1">
        <v>373</v>
      </c>
      <c r="Q40" s="1">
        <v>391</v>
      </c>
      <c r="R40" s="81">
        <v>0.13</v>
      </c>
      <c r="S40" s="39">
        <v>0.01</v>
      </c>
      <c r="T40" s="90">
        <v>0</v>
      </c>
      <c r="U40" s="70">
        <v>0.03</v>
      </c>
      <c r="V40" s="30">
        <v>0.01</v>
      </c>
      <c r="W40" s="85">
        <v>0.06</v>
      </c>
      <c r="X40" s="1">
        <v>391</v>
      </c>
      <c r="Y40" s="1">
        <v>400</v>
      </c>
      <c r="Z40" s="1">
        <v>333</v>
      </c>
      <c r="AA40" s="1" t="e">
        <v>#DIV/0!</v>
      </c>
      <c r="AB40" s="1">
        <v>390</v>
      </c>
    </row>
    <row r="41" spans="1:28" x14ac:dyDescent="0.3">
      <c r="A41" s="4">
        <v>45931</v>
      </c>
      <c r="B41" s="1" t="s">
        <v>54</v>
      </c>
      <c r="C41" s="1">
        <v>2025</v>
      </c>
      <c r="D41" s="1">
        <v>10</v>
      </c>
      <c r="E41" s="1">
        <v>375</v>
      </c>
      <c r="F41" s="1">
        <v>411</v>
      </c>
      <c r="G41" s="1">
        <v>4.0999999999999996</v>
      </c>
      <c r="H41" s="1"/>
      <c r="I41" s="1">
        <v>58.6</v>
      </c>
      <c r="J41" s="1">
        <v>350</v>
      </c>
      <c r="K41" s="1"/>
      <c r="L41" s="1">
        <v>424</v>
      </c>
      <c r="M41" s="1">
        <v>326</v>
      </c>
      <c r="N41" s="1">
        <v>175</v>
      </c>
      <c r="O41" s="1">
        <v>212</v>
      </c>
      <c r="P41" s="1">
        <v>375</v>
      </c>
      <c r="Q41" s="1">
        <v>411</v>
      </c>
      <c r="R41" s="106">
        <v>0.21</v>
      </c>
      <c r="S41" s="45">
        <v>-0.11</v>
      </c>
      <c r="T41" s="63">
        <v>0.08</v>
      </c>
      <c r="U41" s="29">
        <v>0.02</v>
      </c>
      <c r="V41" s="30">
        <v>0.01</v>
      </c>
      <c r="W41" s="85">
        <v>0.05</v>
      </c>
      <c r="X41" s="1">
        <v>410</v>
      </c>
      <c r="Y41" s="1">
        <v>410</v>
      </c>
      <c r="Z41" s="1" t="s">
        <v>33</v>
      </c>
      <c r="AA41" s="1">
        <v>390</v>
      </c>
      <c r="AB41" s="1">
        <v>360</v>
      </c>
    </row>
    <row r="42" spans="1:28" x14ac:dyDescent="0.3">
      <c r="A42" s="4">
        <v>45962</v>
      </c>
      <c r="B42" s="1" t="s">
        <v>55</v>
      </c>
      <c r="C42" s="1">
        <v>2025</v>
      </c>
      <c r="D42" s="1">
        <v>11</v>
      </c>
      <c r="E42" s="1"/>
      <c r="F42" s="1">
        <v>359</v>
      </c>
      <c r="G42" s="1">
        <v>4.7</v>
      </c>
      <c r="H42" s="1"/>
      <c r="I42" s="1">
        <v>55.9</v>
      </c>
      <c r="J42" s="1">
        <v>365</v>
      </c>
      <c r="K42" s="1"/>
      <c r="L42" s="1">
        <v>438</v>
      </c>
      <c r="M42" s="1">
        <v>338</v>
      </c>
      <c r="N42" s="1">
        <v>182</v>
      </c>
      <c r="O42" s="1">
        <v>219</v>
      </c>
      <c r="P42" s="1">
        <v>328</v>
      </c>
      <c r="Q42" s="1">
        <v>360</v>
      </c>
      <c r="R42" s="102">
        <v>0.17</v>
      </c>
      <c r="S42" s="73">
        <v>-0.05</v>
      </c>
      <c r="T42" s="20">
        <v>0.04</v>
      </c>
      <c r="U42" s="70">
        <v>0.03</v>
      </c>
      <c r="V42" s="18">
        <v>-0.13</v>
      </c>
      <c r="W42" s="18">
        <v>-0.13</v>
      </c>
      <c r="X42" s="1">
        <v>340</v>
      </c>
      <c r="Y42" s="1">
        <v>360</v>
      </c>
      <c r="Z42" s="1">
        <v>340</v>
      </c>
      <c r="AA42" s="1">
        <v>340</v>
      </c>
      <c r="AB42" s="1">
        <v>300</v>
      </c>
    </row>
    <row r="43" spans="1:28" x14ac:dyDescent="0.3">
      <c r="A43" s="4">
        <v>45992</v>
      </c>
      <c r="B43" s="1" t="s">
        <v>56</v>
      </c>
      <c r="C43" s="1">
        <v>2025</v>
      </c>
      <c r="D43" s="1">
        <v>12</v>
      </c>
      <c r="E43" s="1"/>
      <c r="F43" s="1">
        <v>360</v>
      </c>
      <c r="G43" s="1">
        <v>4.0999999999999996</v>
      </c>
      <c r="H43" s="1"/>
      <c r="I43" s="1">
        <v>51.3</v>
      </c>
      <c r="J43" s="1">
        <v>377</v>
      </c>
      <c r="K43" s="1"/>
      <c r="L43" s="1">
        <v>437</v>
      </c>
      <c r="M43" s="1">
        <v>340</v>
      </c>
      <c r="N43" s="1">
        <v>189</v>
      </c>
      <c r="O43" s="1">
        <v>219</v>
      </c>
      <c r="P43" s="1">
        <v>328</v>
      </c>
      <c r="Q43" s="1">
        <v>360</v>
      </c>
      <c r="R43" s="17">
        <v>-0.14000000000000001</v>
      </c>
      <c r="S43" s="74">
        <v>-0.08</v>
      </c>
      <c r="T43" s="70">
        <v>0.03</v>
      </c>
      <c r="U43" s="90">
        <v>0</v>
      </c>
      <c r="V43" s="11">
        <v>0</v>
      </c>
      <c r="W43" s="11">
        <v>0</v>
      </c>
      <c r="X43" s="1">
        <v>349</v>
      </c>
      <c r="Y43" s="1">
        <v>352</v>
      </c>
      <c r="Z43" s="1">
        <v>340</v>
      </c>
      <c r="AA43" s="1" t="e">
        <v>#DIV/0!</v>
      </c>
      <c r="AB43" s="1" t="e">
        <v>#DIV/0!</v>
      </c>
    </row>
    <row r="44" spans="1:28" x14ac:dyDescent="0.3">
      <c r="A44" s="4">
        <v>46023</v>
      </c>
      <c r="B44" s="1" t="s">
        <v>57</v>
      </c>
      <c r="C44" s="1">
        <v>2026</v>
      </c>
      <c r="D44" s="1">
        <v>1</v>
      </c>
      <c r="E44" s="1"/>
      <c r="F44" s="1"/>
      <c r="G44" s="1">
        <v>4.3</v>
      </c>
      <c r="H44" s="1"/>
      <c r="I44" s="1">
        <v>55.2</v>
      </c>
      <c r="J44" s="1">
        <v>380</v>
      </c>
      <c r="K44" s="1"/>
      <c r="L44" s="1">
        <v>439</v>
      </c>
      <c r="M44" s="1">
        <v>341</v>
      </c>
      <c r="N44" s="1">
        <v>190</v>
      </c>
      <c r="O44" s="1">
        <v>220</v>
      </c>
      <c r="P44" s="1"/>
      <c r="Q44" s="1"/>
      <c r="R44" s="59">
        <v>0.06</v>
      </c>
      <c r="S44" s="107">
        <v>0.08</v>
      </c>
      <c r="T44" s="30">
        <v>0.01</v>
      </c>
      <c r="U44" s="11">
        <v>0</v>
      </c>
      <c r="V44" s="108">
        <v>-1</v>
      </c>
      <c r="W44" s="108">
        <v>-1</v>
      </c>
      <c r="X44" s="1">
        <v>347</v>
      </c>
      <c r="Y44" s="1">
        <v>363</v>
      </c>
      <c r="Z44" s="1">
        <v>345</v>
      </c>
      <c r="AA44" s="1" t="e">
        <v>#DIV/0!</v>
      </c>
      <c r="AB44" s="1">
        <v>298</v>
      </c>
    </row>
    <row r="45" spans="1:28" x14ac:dyDescent="0.3">
      <c r="A45" s="4">
        <v>46054</v>
      </c>
      <c r="B45" s="1" t="s">
        <v>58</v>
      </c>
      <c r="C45" s="1">
        <v>2026</v>
      </c>
      <c r="D45" s="1">
        <v>2</v>
      </c>
      <c r="E45" s="1"/>
      <c r="F45" s="1"/>
      <c r="G45" s="1">
        <v>3</v>
      </c>
      <c r="H45" s="1"/>
      <c r="I45" s="1">
        <v>58.6</v>
      </c>
      <c r="J45" s="1">
        <v>381</v>
      </c>
      <c r="K45" s="109">
        <v>0.11</v>
      </c>
      <c r="L45" s="1">
        <v>439</v>
      </c>
      <c r="M45" s="1">
        <v>341</v>
      </c>
      <c r="N45" s="1">
        <v>191</v>
      </c>
      <c r="O45" s="1">
        <v>220</v>
      </c>
      <c r="P45" s="1"/>
      <c r="Q45" s="1"/>
      <c r="R45" s="31">
        <v>-0.31</v>
      </c>
      <c r="S45" s="59">
        <v>0.06</v>
      </c>
      <c r="T45" s="11">
        <v>0</v>
      </c>
      <c r="U45" s="90">
        <v>0</v>
      </c>
      <c r="V45" s="1" t="e">
        <v>#DIV/0!</v>
      </c>
      <c r="W45" s="1" t="e">
        <v>#DIV/0!</v>
      </c>
      <c r="X45" s="1" t="s">
        <v>32</v>
      </c>
      <c r="Y45" s="1" t="s">
        <v>33</v>
      </c>
      <c r="Z45" s="1" t="s">
        <v>33</v>
      </c>
      <c r="AA45" s="1" t="e">
        <v>#DIV/0!</v>
      </c>
      <c r="AB45" s="1" t="e">
        <v>#DIV/0!</v>
      </c>
    </row>
    <row r="46" spans="1:2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3"/>
      <c r="L47" s="1" t="s">
        <v>59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3"/>
      <c r="L48" s="1" t="s">
        <v>60</v>
      </c>
      <c r="M48" s="1"/>
      <c r="N48" s="1"/>
      <c r="O48" s="1"/>
      <c r="P48" s="1" t="s">
        <v>61</v>
      </c>
      <c r="Q48" s="1" t="s">
        <v>62</v>
      </c>
      <c r="R48" s="1" t="s">
        <v>63</v>
      </c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>
        <v>-1.2E-2</v>
      </c>
      <c r="M49" s="1"/>
      <c r="N49" s="1"/>
      <c r="O49" s="1"/>
      <c r="P49" s="1">
        <v>6.7999999999999996E-3</v>
      </c>
      <c r="Q49" s="1">
        <v>7.4029999999999999E-2</v>
      </c>
      <c r="R49" s="1">
        <v>3.2777699999999999</v>
      </c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>
        <v>1.9000000000000001E-4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91.8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10" t="s">
        <v>64</v>
      </c>
      <c r="M64" s="111"/>
      <c r="N64" s="111"/>
      <c r="O64" s="111"/>
      <c r="P64" s="110" t="s">
        <v>65</v>
      </c>
      <c r="Q64" s="110" t="s">
        <v>66</v>
      </c>
      <c r="R64" s="112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3">
      <c r="A66" s="1"/>
      <c r="B66" s="1"/>
      <c r="C66" s="1"/>
      <c r="D66" s="1"/>
      <c r="E66" s="1"/>
      <c r="F66" s="1"/>
      <c r="G66" s="1">
        <v>-1.2432393999999999E-2</v>
      </c>
      <c r="H66" s="1">
        <v>4.2848769950000003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3">
      <c r="A67" s="1"/>
      <c r="B67" s="1"/>
      <c r="C67" s="1"/>
      <c r="D67" s="1"/>
      <c r="E67" s="1"/>
      <c r="F67" s="1"/>
      <c r="G67" s="1">
        <v>6.8669780000000001E-3</v>
      </c>
      <c r="H67" s="1">
        <v>0.49727149799999998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3">
      <c r="A68" s="1"/>
      <c r="B68" s="1"/>
      <c r="C68" s="1"/>
      <c r="D68" s="1"/>
      <c r="E68" s="1"/>
      <c r="F68" s="1"/>
      <c r="G68" s="1">
        <v>7.4027409000000002E-2</v>
      </c>
      <c r="H68" s="1">
        <v>0.47152898100000001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3">
      <c r="A69" s="1"/>
      <c r="B69" s="1"/>
      <c r="C69" s="1"/>
      <c r="D69" s="1"/>
      <c r="E69" s="1"/>
      <c r="F69" s="1"/>
      <c r="G69" s="1">
        <v>3.2777684909999998</v>
      </c>
      <c r="H69" s="1">
        <v>41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3">
      <c r="A70" s="1"/>
      <c r="B70" s="1"/>
      <c r="C70" s="1"/>
      <c r="D70" s="1"/>
      <c r="E70" s="1"/>
      <c r="F70" s="1"/>
      <c r="G70" s="1">
        <v>0.72877766799999999</v>
      </c>
      <c r="H70" s="1">
        <v>9.115922759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67</v>
      </c>
      <c r="M71" s="1" t="s">
        <v>5</v>
      </c>
      <c r="N71" s="1" t="s">
        <v>6</v>
      </c>
      <c r="O71" s="1" t="s">
        <v>7</v>
      </c>
      <c r="P71" s="1" t="s">
        <v>8</v>
      </c>
      <c r="Q71" s="1" t="s">
        <v>3</v>
      </c>
      <c r="R71" s="1" t="s">
        <v>4</v>
      </c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3">
      <c r="A72" s="1"/>
      <c r="B72" s="1"/>
      <c r="C72" s="1"/>
      <c r="D72" s="1"/>
      <c r="E72" s="1"/>
      <c r="F72" s="1"/>
      <c r="G72" s="1">
        <v>1.8866799999999999E-4</v>
      </c>
      <c r="H72" s="1">
        <v>3.3108610020000002</v>
      </c>
      <c r="I72" s="1"/>
      <c r="J72" s="1"/>
      <c r="K72" s="1"/>
      <c r="L72" s="1" t="s">
        <v>5</v>
      </c>
      <c r="M72" s="113">
        <v>1</v>
      </c>
      <c r="N72" s="114">
        <v>-0.3</v>
      </c>
      <c r="O72" s="115">
        <v>0.1</v>
      </c>
      <c r="P72" s="116">
        <v>0</v>
      </c>
      <c r="Q72" s="117">
        <v>0.3</v>
      </c>
      <c r="R72" s="118">
        <v>0.2</v>
      </c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3">
      <c r="A73" s="1"/>
      <c r="B73" s="1"/>
      <c r="C73" s="1"/>
      <c r="D73" s="1"/>
      <c r="E73" s="1"/>
      <c r="F73" s="1"/>
      <c r="G73" s="1">
        <v>3.9202900000000001E-4</v>
      </c>
      <c r="H73" s="1">
        <v>0.18823182199999999</v>
      </c>
      <c r="I73" s="1"/>
      <c r="J73" s="1"/>
      <c r="K73" s="1"/>
      <c r="L73" s="1" t="s">
        <v>6</v>
      </c>
      <c r="M73" s="114">
        <v>-0.3</v>
      </c>
      <c r="N73" s="113">
        <v>1</v>
      </c>
      <c r="O73" s="119">
        <v>0.3</v>
      </c>
      <c r="P73" s="120">
        <v>0.4</v>
      </c>
      <c r="Q73" s="121">
        <v>0.3</v>
      </c>
      <c r="R73" s="122">
        <v>0.3</v>
      </c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3">
      <c r="A74" s="1"/>
      <c r="B74" s="1"/>
      <c r="C74" s="1"/>
      <c r="D74" s="1"/>
      <c r="E74" s="1"/>
      <c r="F74" s="1"/>
      <c r="G74" s="1">
        <v>5.6173330000000004E-3</v>
      </c>
      <c r="H74" s="1">
        <v>0.48863671600000003</v>
      </c>
      <c r="I74" s="1"/>
      <c r="J74" s="1"/>
      <c r="K74" s="1"/>
      <c r="L74" s="1" t="s">
        <v>7</v>
      </c>
      <c r="M74" s="115">
        <v>0.1</v>
      </c>
      <c r="N74" s="120">
        <v>0.4</v>
      </c>
      <c r="O74" s="113">
        <v>1</v>
      </c>
      <c r="P74" s="123">
        <v>0.8</v>
      </c>
      <c r="Q74" s="124">
        <v>0.7</v>
      </c>
      <c r="R74" s="125">
        <v>0.7</v>
      </c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3">
      <c r="A75" s="1"/>
      <c r="B75" s="1"/>
      <c r="C75" s="1"/>
      <c r="D75" s="1"/>
      <c r="E75" s="1"/>
      <c r="F75" s="1"/>
      <c r="G75" s="1">
        <v>0.231611698</v>
      </c>
      <c r="H75" s="1">
        <v>41</v>
      </c>
      <c r="I75" s="1"/>
      <c r="J75" s="1"/>
      <c r="K75" s="1"/>
      <c r="L75" s="1" t="s">
        <v>8</v>
      </c>
      <c r="M75" s="116">
        <v>0</v>
      </c>
      <c r="N75" s="121">
        <v>0.3</v>
      </c>
      <c r="O75" s="123">
        <v>0.8</v>
      </c>
      <c r="P75" s="113">
        <v>1</v>
      </c>
      <c r="Q75" s="126">
        <v>0.7</v>
      </c>
      <c r="R75" s="127">
        <v>0.7</v>
      </c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3">
      <c r="A76" s="1"/>
      <c r="B76" s="1"/>
      <c r="C76" s="1"/>
      <c r="D76" s="1"/>
      <c r="E76" s="1"/>
      <c r="F76" s="1"/>
      <c r="G76" s="1">
        <v>5.5300962000000002E-2</v>
      </c>
      <c r="H76" s="1">
        <v>9.7893994660000008</v>
      </c>
      <c r="I76" s="1"/>
      <c r="J76" s="1"/>
      <c r="K76" s="1"/>
      <c r="L76" s="1" t="s">
        <v>68</v>
      </c>
      <c r="M76" s="117">
        <v>0.3</v>
      </c>
      <c r="N76" s="122">
        <v>0.3</v>
      </c>
      <c r="O76" s="124">
        <v>0.7</v>
      </c>
      <c r="P76" s="126">
        <v>0.7</v>
      </c>
      <c r="Q76" s="113">
        <v>1</v>
      </c>
      <c r="R76" s="128">
        <v>1</v>
      </c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3">
      <c r="A78" s="1"/>
      <c r="B78" s="1"/>
      <c r="C78" s="1"/>
      <c r="D78" s="1"/>
      <c r="E78" s="1"/>
      <c r="F78" s="1"/>
      <c r="G78" s="1">
        <v>-1.1432199999999999E-4</v>
      </c>
      <c r="H78" s="1">
        <v>3.4555974709999999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3">
      <c r="A79" s="1"/>
      <c r="B79" s="1"/>
      <c r="C79" s="1"/>
      <c r="D79" s="1"/>
      <c r="E79" s="1"/>
      <c r="F79" s="1"/>
      <c r="G79" s="1">
        <v>4.6469399999999998E-4</v>
      </c>
      <c r="H79" s="1">
        <v>0.261087493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3">
      <c r="A80" s="1"/>
      <c r="B80" s="1"/>
      <c r="C80" s="1"/>
      <c r="D80" s="1"/>
      <c r="E80" s="1"/>
      <c r="F80" s="1"/>
      <c r="G80" s="1">
        <v>1.4740140000000001E-3</v>
      </c>
      <c r="H80" s="1">
        <v>0.48965366599999999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3">
      <c r="A81" s="1"/>
      <c r="B81" s="1"/>
      <c r="C81" s="1"/>
      <c r="D81" s="1"/>
      <c r="E81" s="1"/>
      <c r="F81" s="1"/>
      <c r="G81" s="1">
        <v>6.0523773000000003E-2</v>
      </c>
      <c r="H81" s="1">
        <v>41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3">
      <c r="A82" s="1"/>
      <c r="B82" s="1"/>
      <c r="C82" s="1"/>
      <c r="D82" s="1"/>
      <c r="E82" s="1"/>
      <c r="F82" s="1"/>
      <c r="G82" s="1">
        <v>1.4511223E-2</v>
      </c>
      <c r="H82" s="1">
        <v>9.8301892049999999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</sheetData>
  <mergeCells count="1"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5C30C-2A74-4C52-9ADF-6FC9AD201434}">
  <dimension ref="B2:AM50"/>
  <sheetViews>
    <sheetView tabSelected="1" zoomScale="85" zoomScaleNormal="85" workbookViewId="0">
      <selection activeCell="S17" sqref="S17"/>
    </sheetView>
  </sheetViews>
  <sheetFormatPr defaultRowHeight="14.4" x14ac:dyDescent="0.3"/>
  <cols>
    <col min="2" max="2" width="10.33203125" customWidth="1"/>
    <col min="3" max="4" width="9.33203125" style="143" bestFit="1" customWidth="1"/>
    <col min="5" max="5" width="9.44140625" style="144" bestFit="1" customWidth="1"/>
    <col min="6" max="6" width="10.5546875" style="144" bestFit="1" customWidth="1"/>
    <col min="7" max="7" width="9.44140625" style="144" bestFit="1" customWidth="1"/>
    <col min="8" max="8" width="12.88671875" style="144" bestFit="1" customWidth="1"/>
    <col min="9" max="9" width="9.33203125" style="144" bestFit="1" customWidth="1"/>
    <col min="10" max="10" width="9.33203125" style="154" customWidth="1"/>
    <col min="11" max="12" width="9.33203125" style="144" customWidth="1"/>
    <col min="13" max="13" width="11.88671875" style="144" customWidth="1"/>
    <col min="14" max="16" width="9.33203125" style="144" customWidth="1"/>
    <col min="19" max="19" width="11.5546875" bestFit="1" customWidth="1"/>
    <col min="20" max="20" width="12.44140625" customWidth="1"/>
    <col min="21" max="21" width="12.109375" customWidth="1"/>
    <col min="22" max="22" width="12.5546875" customWidth="1"/>
    <col min="23" max="23" width="11" customWidth="1"/>
    <col min="24" max="24" width="12.88671875" customWidth="1"/>
    <col min="25" max="25" width="19.109375" bestFit="1" customWidth="1"/>
  </cols>
  <sheetData>
    <row r="2" spans="2:30" x14ac:dyDescent="0.3">
      <c r="B2" t="s">
        <v>69</v>
      </c>
      <c r="C2" s="143" t="s">
        <v>4</v>
      </c>
      <c r="D2" s="143" t="s">
        <v>70</v>
      </c>
      <c r="E2" s="144" t="s">
        <v>71</v>
      </c>
      <c r="F2" s="144" t="s">
        <v>72</v>
      </c>
      <c r="G2" s="144" t="s">
        <v>73</v>
      </c>
      <c r="H2" s="144" t="s">
        <v>74</v>
      </c>
      <c r="I2" s="144" t="s">
        <v>75</v>
      </c>
      <c r="J2" s="154" t="s">
        <v>4</v>
      </c>
      <c r="K2" s="143" t="s">
        <v>76</v>
      </c>
      <c r="L2" s="144" t="s">
        <v>71</v>
      </c>
      <c r="M2" s="144" t="s">
        <v>72</v>
      </c>
      <c r="N2" s="144" t="s">
        <v>73</v>
      </c>
      <c r="O2" s="144" t="s">
        <v>74</v>
      </c>
      <c r="P2" s="144" t="s">
        <v>75</v>
      </c>
    </row>
    <row r="3" spans="2:30" x14ac:dyDescent="0.3">
      <c r="B3" s="137">
        <v>46204</v>
      </c>
      <c r="C3" s="143">
        <v>576</v>
      </c>
      <c r="D3" s="143">
        <v>519</v>
      </c>
      <c r="E3" s="144">
        <v>417.5</v>
      </c>
      <c r="F3" s="144">
        <v>790</v>
      </c>
      <c r="G3" s="144">
        <v>406.13</v>
      </c>
      <c r="H3" s="144">
        <v>3.2</v>
      </c>
      <c r="K3" s="154">
        <f>(D3-D4)/D4</f>
        <v>-7.8152753108348141E-2</v>
      </c>
      <c r="M3" s="154">
        <f>(F3-F4)/F4</f>
        <v>-1.2500000000000001E-2</v>
      </c>
    </row>
    <row r="4" spans="2:30" x14ac:dyDescent="0.3">
      <c r="B4" s="137">
        <v>46174</v>
      </c>
      <c r="C4" s="143">
        <v>670</v>
      </c>
      <c r="D4" s="143">
        <v>563</v>
      </c>
      <c r="E4" s="144">
        <v>500</v>
      </c>
      <c r="F4" s="144">
        <v>800</v>
      </c>
      <c r="G4" s="144">
        <v>629</v>
      </c>
      <c r="H4" s="144">
        <v>2.86</v>
      </c>
      <c r="K4" s="154">
        <f t="shared" ref="K4:K6" si="0">(D4-D5)/D5</f>
        <v>-6.761836940860845E-2</v>
      </c>
      <c r="M4" s="154">
        <f>(F4-F5)/F5</f>
        <v>3.896103896103896E-2</v>
      </c>
    </row>
    <row r="5" spans="2:30" x14ac:dyDescent="0.3">
      <c r="B5" s="137">
        <v>46143</v>
      </c>
      <c r="C5" s="143">
        <v>713.85</v>
      </c>
      <c r="D5" s="143">
        <v>603.83000000000004</v>
      </c>
      <c r="E5" s="144">
        <v>495.5</v>
      </c>
      <c r="F5" s="144">
        <v>770</v>
      </c>
      <c r="G5" s="144">
        <v>629</v>
      </c>
      <c r="H5" s="144">
        <v>2.86</v>
      </c>
      <c r="K5" s="154">
        <f t="shared" si="0"/>
        <v>9.2904977375565689E-2</v>
      </c>
      <c r="M5" s="154">
        <f>(F5-F6)/F6</f>
        <v>0.1273792093704246</v>
      </c>
    </row>
    <row r="6" spans="2:30" x14ac:dyDescent="0.3">
      <c r="B6" s="137">
        <v>46113</v>
      </c>
      <c r="C6" s="143">
        <v>567</v>
      </c>
      <c r="D6" s="143">
        <v>552.5</v>
      </c>
      <c r="E6" s="144">
        <v>473.25</v>
      </c>
      <c r="F6" s="144">
        <v>683</v>
      </c>
      <c r="G6" s="131">
        <v>719.38</v>
      </c>
      <c r="H6" s="131">
        <v>3.0764</v>
      </c>
      <c r="I6" s="131">
        <v>112.27</v>
      </c>
      <c r="K6" s="154">
        <f t="shared" si="0"/>
        <v>0.18817204301075269</v>
      </c>
      <c r="M6" s="154">
        <f t="shared" ref="M6" si="1">(F6-F7)/F7</f>
        <v>0.17253218884120172</v>
      </c>
    </row>
    <row r="7" spans="2:30" x14ac:dyDescent="0.3">
      <c r="B7" s="137">
        <v>46082</v>
      </c>
      <c r="C7" s="143">
        <v>495</v>
      </c>
      <c r="D7" s="143">
        <v>465</v>
      </c>
      <c r="E7" s="144">
        <v>395</v>
      </c>
      <c r="F7" s="144">
        <v>582.5</v>
      </c>
      <c r="G7" s="144">
        <v>603.75</v>
      </c>
      <c r="H7" s="144">
        <v>3.0547499999999999</v>
      </c>
      <c r="I7" s="144">
        <v>102.73</v>
      </c>
      <c r="J7" s="154">
        <f>(C7-C8)/C8</f>
        <v>0.35989010989010989</v>
      </c>
      <c r="K7" s="154">
        <f t="shared" ref="K7:P7" si="2">(D7-D8)/D8</f>
        <v>0.33620689655172414</v>
      </c>
      <c r="L7" s="154">
        <f t="shared" si="2"/>
        <v>0.2038095238095238</v>
      </c>
      <c r="M7" s="154">
        <f t="shared" si="2"/>
        <v>0.18124207858048164</v>
      </c>
      <c r="N7" s="154">
        <f t="shared" si="2"/>
        <v>0.42268041237113402</v>
      </c>
      <c r="O7" s="154">
        <f t="shared" si="2"/>
        <v>-2.5582545176159127E-2</v>
      </c>
      <c r="P7" s="154">
        <f t="shared" si="2"/>
        <v>0.47606937080621309</v>
      </c>
      <c r="R7" s="197" t="s">
        <v>77</v>
      </c>
      <c r="S7" s="197"/>
      <c r="T7" s="197"/>
      <c r="U7" s="197"/>
      <c r="V7" s="197"/>
      <c r="W7" s="197"/>
      <c r="X7" s="197"/>
      <c r="Y7" s="197"/>
      <c r="Z7" s="197"/>
      <c r="AA7" s="197"/>
      <c r="AB7" s="197"/>
    </row>
    <row r="8" spans="2:30" x14ac:dyDescent="0.3">
      <c r="B8" s="4">
        <v>46054</v>
      </c>
      <c r="C8" s="143">
        <v>364</v>
      </c>
      <c r="D8" s="143">
        <v>348</v>
      </c>
      <c r="E8" s="144">
        <v>328.125</v>
      </c>
      <c r="F8" s="144">
        <v>493.125</v>
      </c>
      <c r="G8" s="144">
        <v>424.375</v>
      </c>
      <c r="H8" s="144">
        <v>3.1349499999999999</v>
      </c>
      <c r="I8" s="144">
        <v>69.596999999999994</v>
      </c>
      <c r="J8" s="154">
        <f t="shared" ref="J8:J50" si="3">(C8-C9)/C9</f>
        <v>8.3102493074792248E-3</v>
      </c>
      <c r="K8" s="154">
        <f t="shared" ref="K8:K50" si="4">(D8-D9)/D9</f>
        <v>5.7803468208092483E-3</v>
      </c>
      <c r="L8" s="154">
        <f t="shared" ref="L8:L50" si="5">(E8-E9)/E9</f>
        <v>0.1697860962566845</v>
      </c>
      <c r="M8" s="154">
        <f t="shared" ref="M8:M50" si="6">(F8-F9)/F9</f>
        <v>-5.1682692307692304E-2</v>
      </c>
      <c r="N8" s="154">
        <f t="shared" ref="N8:N50" si="7">(G8-G9)/G9</f>
        <v>0.12031414994720166</v>
      </c>
      <c r="O8" s="154">
        <f t="shared" ref="O8:O50" si="8">(H8-H9)/H9</f>
        <v>-0.25214281795172133</v>
      </c>
      <c r="P8" s="154">
        <f t="shared" ref="P8:P50" si="9">(I8-I9)/I9</f>
        <v>7.7451497815026624E-2</v>
      </c>
      <c r="R8" s="197"/>
      <c r="S8" s="197"/>
      <c r="T8" s="197"/>
      <c r="U8" s="197"/>
      <c r="V8" s="197"/>
      <c r="W8" s="197"/>
      <c r="X8" s="197"/>
      <c r="Y8" s="197"/>
      <c r="Z8" s="197"/>
      <c r="AA8" s="197"/>
      <c r="AB8" s="197"/>
    </row>
    <row r="9" spans="2:30" x14ac:dyDescent="0.3">
      <c r="B9" s="4">
        <v>46023</v>
      </c>
      <c r="C9" s="143">
        <v>361</v>
      </c>
      <c r="D9" s="143">
        <v>346</v>
      </c>
      <c r="E9" s="144">
        <v>280.5</v>
      </c>
      <c r="F9" s="144">
        <v>520</v>
      </c>
      <c r="G9" s="144">
        <v>378.8</v>
      </c>
      <c r="H9" s="144">
        <v>4.19191</v>
      </c>
      <c r="I9" s="144">
        <v>64.594090909090909</v>
      </c>
      <c r="J9" s="154">
        <f t="shared" si="3"/>
        <v>2.7777777777777779E-3</v>
      </c>
      <c r="K9" s="154">
        <f t="shared" si="4"/>
        <v>5.4878048780487805E-2</v>
      </c>
      <c r="L9" s="154">
        <f t="shared" si="5"/>
        <v>8.4057971014492749E-2</v>
      </c>
      <c r="M9" s="154">
        <f t="shared" si="6"/>
        <v>4.6540880503144651E-2</v>
      </c>
      <c r="N9" s="154">
        <f t="shared" si="7"/>
        <v>9.4007220216606527E-2</v>
      </c>
      <c r="O9" s="154">
        <f t="shared" si="8"/>
        <v>-5.3459142574084101E-2</v>
      </c>
      <c r="P9" s="154">
        <f t="shared" si="9"/>
        <v>4.502735615954815E-2</v>
      </c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</row>
    <row r="10" spans="2:30" x14ac:dyDescent="0.3">
      <c r="B10" s="4">
        <v>45992</v>
      </c>
      <c r="C10" s="143">
        <v>360</v>
      </c>
      <c r="D10" s="143">
        <v>328</v>
      </c>
      <c r="E10" s="144">
        <v>258.75</v>
      </c>
      <c r="F10" s="144">
        <v>496.875</v>
      </c>
      <c r="G10" s="144">
        <v>346.25</v>
      </c>
      <c r="H10" s="144">
        <v>4.4286624999999997</v>
      </c>
      <c r="I10" s="144">
        <v>61.810909090909092</v>
      </c>
      <c r="J10" s="154">
        <f t="shared" si="3"/>
        <v>0</v>
      </c>
      <c r="K10" s="154">
        <f t="shared" si="4"/>
        <v>0</v>
      </c>
      <c r="L10" s="154">
        <f t="shared" si="5"/>
        <v>4.5454545454545456E-2</v>
      </c>
      <c r="M10" s="154">
        <f t="shared" si="6"/>
        <v>0.10724233983286909</v>
      </c>
      <c r="N10" s="154">
        <f t="shared" si="7"/>
        <v>-5.8463630183548609E-2</v>
      </c>
      <c r="O10" s="154">
        <f t="shared" si="8"/>
        <v>-1.0058872344527538E-2</v>
      </c>
      <c r="P10" s="154">
        <f t="shared" si="9"/>
        <v>-2.9557033434980146E-2</v>
      </c>
      <c r="R10" s="197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</row>
    <row r="11" spans="2:30" x14ac:dyDescent="0.3">
      <c r="B11" s="4">
        <v>45962</v>
      </c>
      <c r="C11" s="143">
        <v>360</v>
      </c>
      <c r="D11" s="143">
        <v>328</v>
      </c>
      <c r="E11" s="144">
        <v>247.5</v>
      </c>
      <c r="F11" s="144">
        <v>448.75</v>
      </c>
      <c r="G11" s="144">
        <v>367.75</v>
      </c>
      <c r="H11" s="144">
        <v>4.4736624999999997</v>
      </c>
      <c r="I11" s="144">
        <v>63.6935</v>
      </c>
      <c r="J11" s="154">
        <f t="shared" si="3"/>
        <v>-0.12408759124087591</v>
      </c>
      <c r="K11" s="154">
        <f t="shared" si="4"/>
        <v>-0.12533333333333332</v>
      </c>
      <c r="L11" s="154">
        <f t="shared" si="5"/>
        <v>1.020408163265306E-2</v>
      </c>
      <c r="M11" s="154">
        <f t="shared" si="6"/>
        <v>0.121875</v>
      </c>
      <c r="N11" s="154">
        <f t="shared" si="7"/>
        <v>6.1559507523939808E-3</v>
      </c>
      <c r="O11" s="154">
        <f t="shared" si="8"/>
        <v>0.33629921142242641</v>
      </c>
      <c r="P11" s="154">
        <f t="shared" si="9"/>
        <v>-4.4982569636509914E-3</v>
      </c>
      <c r="R11" s="197"/>
      <c r="S11" s="197"/>
      <c r="T11" s="197"/>
      <c r="U11" s="197"/>
      <c r="V11" s="197"/>
      <c r="W11" s="197"/>
      <c r="X11" s="197"/>
      <c r="Y11" s="197"/>
      <c r="Z11" s="197"/>
      <c r="AA11" s="197"/>
      <c r="AB11" s="197"/>
    </row>
    <row r="12" spans="2:30" x14ac:dyDescent="0.3">
      <c r="B12" s="4">
        <v>45931</v>
      </c>
      <c r="C12" s="143">
        <v>411</v>
      </c>
      <c r="D12" s="143">
        <v>375</v>
      </c>
      <c r="E12" s="144">
        <v>245</v>
      </c>
      <c r="F12" s="144">
        <v>400</v>
      </c>
      <c r="G12" s="144">
        <v>365.5</v>
      </c>
      <c r="H12" s="144">
        <v>3.3478000000000003</v>
      </c>
      <c r="I12" s="144">
        <v>63.981304347826082</v>
      </c>
      <c r="J12" s="154">
        <f t="shared" si="3"/>
        <v>5.1150895140664961E-2</v>
      </c>
      <c r="K12" s="154">
        <f t="shared" si="4"/>
        <v>5.3619302949061663E-3</v>
      </c>
      <c r="L12" s="154">
        <f t="shared" si="5"/>
        <v>-0.12694877505567928</v>
      </c>
      <c r="M12" s="154">
        <f t="shared" si="6"/>
        <v>0.13475177304964539</v>
      </c>
      <c r="N12" s="154">
        <f t="shared" si="7"/>
        <v>-5.9504663879060789E-2</v>
      </c>
      <c r="O12" s="154">
        <f t="shared" si="8"/>
        <v>0.12184639872662169</v>
      </c>
      <c r="P12" s="154">
        <f t="shared" si="9"/>
        <v>-5.3658265663457168E-2</v>
      </c>
      <c r="R12" s="197"/>
      <c r="S12" s="197"/>
      <c r="T12" s="197"/>
      <c r="U12" s="197"/>
      <c r="V12" s="197"/>
      <c r="W12" s="197"/>
      <c r="X12" s="197"/>
      <c r="Y12" s="197"/>
      <c r="Z12" s="197"/>
      <c r="AA12" s="197"/>
      <c r="AB12" s="197"/>
    </row>
    <row r="13" spans="2:30" x14ac:dyDescent="0.3">
      <c r="B13" s="4">
        <v>45901</v>
      </c>
      <c r="C13" s="143">
        <v>391</v>
      </c>
      <c r="D13" s="143">
        <v>373</v>
      </c>
      <c r="E13" s="144">
        <v>280.625</v>
      </c>
      <c r="F13" s="144">
        <v>352.5</v>
      </c>
      <c r="G13" s="144">
        <v>388.625</v>
      </c>
      <c r="H13" s="144">
        <v>2.9841875</v>
      </c>
      <c r="I13" s="144">
        <v>67.609090909090909</v>
      </c>
      <c r="J13" s="154">
        <f t="shared" si="3"/>
        <v>5.675675675675676E-2</v>
      </c>
      <c r="K13" s="154">
        <f t="shared" si="4"/>
        <v>8.1081081081081086E-3</v>
      </c>
      <c r="L13" s="154">
        <f t="shared" si="5"/>
        <v>-9.0945902170391932E-2</v>
      </c>
      <c r="M13" s="154">
        <f t="shared" si="6"/>
        <v>8.964451313755796E-2</v>
      </c>
      <c r="N13" s="154">
        <f t="shared" si="7"/>
        <v>-0.12432401982875171</v>
      </c>
      <c r="O13" s="154">
        <f t="shared" si="8"/>
        <v>2.3678803221778493E-2</v>
      </c>
      <c r="P13" s="154">
        <f t="shared" si="9"/>
        <v>5.4250735349501821E-3</v>
      </c>
      <c r="R13" s="197"/>
      <c r="S13" s="197"/>
      <c r="T13" s="197"/>
      <c r="U13" s="197"/>
      <c r="V13" s="197"/>
      <c r="W13" s="197"/>
      <c r="X13" s="197"/>
      <c r="Y13" s="197"/>
      <c r="Z13" s="197"/>
      <c r="AA13" s="197"/>
      <c r="AB13" s="197"/>
    </row>
    <row r="14" spans="2:30" x14ac:dyDescent="0.3">
      <c r="B14" s="4">
        <v>45870</v>
      </c>
      <c r="C14" s="143">
        <v>370</v>
      </c>
      <c r="D14" s="143">
        <v>370</v>
      </c>
      <c r="E14" s="144">
        <v>308.7</v>
      </c>
      <c r="F14" s="144">
        <v>323.5</v>
      </c>
      <c r="G14" s="144">
        <v>443.8</v>
      </c>
      <c r="H14" s="144">
        <v>2.9151600000000002</v>
      </c>
      <c r="I14" s="144">
        <v>67.244285714285709</v>
      </c>
      <c r="J14" s="154">
        <f t="shared" si="3"/>
        <v>0.15625</v>
      </c>
      <c r="K14" s="154">
        <f t="shared" si="4"/>
        <v>0.20129870129870131</v>
      </c>
      <c r="L14" s="154">
        <f t="shared" si="5"/>
        <v>-1.6095617529880514E-2</v>
      </c>
      <c r="M14" s="154">
        <f t="shared" si="6"/>
        <v>6.0655737704918035E-2</v>
      </c>
      <c r="N14" s="154">
        <f t="shared" si="7"/>
        <v>6.2357869539198113E-2</v>
      </c>
      <c r="O14" s="154">
        <f t="shared" si="8"/>
        <v>-0.13409374443058272</v>
      </c>
      <c r="P14" s="154">
        <f t="shared" si="9"/>
        <v>-3.3357351340588794E-2</v>
      </c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</row>
    <row r="15" spans="2:30" x14ac:dyDescent="0.3">
      <c r="B15" s="4">
        <v>45839</v>
      </c>
      <c r="C15" s="143">
        <v>320</v>
      </c>
      <c r="D15" s="143">
        <v>308</v>
      </c>
      <c r="E15" s="144">
        <v>313.75</v>
      </c>
      <c r="F15" s="144">
        <v>305</v>
      </c>
      <c r="G15" s="144">
        <v>417.75</v>
      </c>
      <c r="H15" s="144">
        <v>3.3666</v>
      </c>
      <c r="I15" s="144">
        <v>69.564782608695651</v>
      </c>
      <c r="J15" s="154">
        <f t="shared" si="3"/>
        <v>1.5873015873015872E-2</v>
      </c>
      <c r="K15" s="154">
        <f t="shared" si="4"/>
        <v>0</v>
      </c>
      <c r="L15" s="154">
        <f t="shared" si="5"/>
        <v>0.28388746803069054</v>
      </c>
      <c r="M15" s="154">
        <f t="shared" si="6"/>
        <v>5.1724137931034482E-2</v>
      </c>
      <c r="N15" s="154">
        <f t="shared" si="7"/>
        <v>9.2156862745098045E-2</v>
      </c>
      <c r="O15" s="154">
        <f t="shared" si="8"/>
        <v>-8.111482994032819E-2</v>
      </c>
      <c r="P15" s="154">
        <f t="shared" si="9"/>
        <v>-4.0357553398541477E-3</v>
      </c>
      <c r="R15" s="130"/>
      <c r="S15" s="198" t="s">
        <v>78</v>
      </c>
      <c r="T15" s="198"/>
      <c r="U15" s="198" t="s">
        <v>79</v>
      </c>
      <c r="V15" s="198"/>
      <c r="W15" s="198" t="s">
        <v>79</v>
      </c>
      <c r="X15" s="198"/>
      <c r="Y15" s="198" t="s">
        <v>80</v>
      </c>
      <c r="Z15" s="198"/>
      <c r="AA15" s="198" t="s">
        <v>81</v>
      </c>
      <c r="AB15" s="198"/>
      <c r="AC15" s="198" t="s">
        <v>81</v>
      </c>
      <c r="AD15" s="198"/>
    </row>
    <row r="16" spans="2:30" ht="13.5" customHeight="1" x14ac:dyDescent="0.3">
      <c r="B16" s="4">
        <v>45809</v>
      </c>
      <c r="C16" s="143">
        <v>315</v>
      </c>
      <c r="D16" s="143">
        <v>308</v>
      </c>
      <c r="E16" s="144">
        <v>244.375</v>
      </c>
      <c r="F16" s="144">
        <v>290</v>
      </c>
      <c r="G16" s="144">
        <v>382.5</v>
      </c>
      <c r="H16" s="144">
        <v>3.6637875000000002</v>
      </c>
      <c r="I16" s="144">
        <v>69.846666666666664</v>
      </c>
      <c r="J16" s="154">
        <f t="shared" si="3"/>
        <v>-3.0769230769230771E-2</v>
      </c>
      <c r="K16" s="154">
        <f t="shared" si="4"/>
        <v>-4.0498442367601244E-2</v>
      </c>
      <c r="L16" s="154">
        <f t="shared" si="5"/>
        <v>0.13927738927738928</v>
      </c>
      <c r="M16" s="154">
        <f t="shared" si="6"/>
        <v>-4.1322314049586778E-2</v>
      </c>
      <c r="N16" s="154">
        <f t="shared" si="7"/>
        <v>8.9743589743589744E-2</v>
      </c>
      <c r="O16" s="154">
        <f t="shared" si="8"/>
        <v>6.5652386367933038E-2</v>
      </c>
      <c r="P16" s="154">
        <f t="shared" si="9"/>
        <v>8.9775230962714947E-2</v>
      </c>
      <c r="R16" s="130"/>
      <c r="S16" s="130" t="s">
        <v>82</v>
      </c>
      <c r="T16" s="130" t="s">
        <v>83</v>
      </c>
      <c r="U16" s="130" t="s">
        <v>82</v>
      </c>
      <c r="V16" s="130" t="s">
        <v>83</v>
      </c>
      <c r="W16" s="130" t="s">
        <v>82</v>
      </c>
      <c r="X16" s="130" t="s">
        <v>83</v>
      </c>
      <c r="Y16" s="130"/>
      <c r="Z16" s="130"/>
      <c r="AA16" s="130"/>
      <c r="AB16" s="130"/>
    </row>
    <row r="17" spans="2:39" x14ac:dyDescent="0.3">
      <c r="B17" s="4">
        <v>45778</v>
      </c>
      <c r="C17" s="143">
        <v>325</v>
      </c>
      <c r="D17" s="143">
        <v>321</v>
      </c>
      <c r="E17" s="144">
        <v>214.5</v>
      </c>
      <c r="F17" s="144">
        <v>302.5</v>
      </c>
      <c r="G17" s="144">
        <v>351</v>
      </c>
      <c r="H17" s="144">
        <v>3.4380700000000006</v>
      </c>
      <c r="I17" s="144">
        <v>64.092727272727274</v>
      </c>
      <c r="J17" s="154">
        <f t="shared" si="3"/>
        <v>3.1746031746031744E-2</v>
      </c>
      <c r="K17" s="154">
        <f t="shared" si="4"/>
        <v>5.2459016393442623E-2</v>
      </c>
      <c r="L17" s="154">
        <f t="shared" si="5"/>
        <v>-4.4011142061281337E-2</v>
      </c>
      <c r="M17" s="154">
        <f t="shared" si="6"/>
        <v>0</v>
      </c>
      <c r="N17" s="154">
        <f t="shared" si="7"/>
        <v>2.8571428571428571E-2</v>
      </c>
      <c r="O17" s="154">
        <f t="shared" si="8"/>
        <v>-1.0121716848174133E-2</v>
      </c>
      <c r="P17" s="154">
        <f t="shared" si="9"/>
        <v>-4.2352621570225603E-2</v>
      </c>
      <c r="R17" s="130" t="s">
        <v>84</v>
      </c>
      <c r="S17" s="132">
        <f xml:space="preserve"> 0.080991528041*D8 + 0.303754553817*D9 - 0.25338201366*F8 + 0.269148503584*F9 + 0.00378757678133*E8 + 0.43547234846*E9 - 12.2555082812*H8 + 15.7710625006*H9 + 0.517281394734*G8- 0.299449478792*G9 - 3.00478655786</f>
        <v>402.46064781766029</v>
      </c>
      <c r="T17" s="142">
        <f>S17*1.15</f>
        <v>462.82974499030928</v>
      </c>
      <c r="U17" s="132">
        <f xml:space="preserve"> 0.080991528041*D7 + 0.303754553817*D8 - 0.25338201366*F7 + 0.269148503584*F8 + 0.00378757678133*E7 + 0.43547234846*E8 - 12.2555082812*H7 + 15.7710625006*H8 + 0.517281394734*G7 - 0.299449478792*G8 - 3.00478655786</f>
        <v>467.11089672205173</v>
      </c>
      <c r="V17" s="142">
        <f>U17*1.15</f>
        <v>537.17753123035948</v>
      </c>
      <c r="W17" s="132">
        <f xml:space="preserve"> 0.080991528041*D6 + 0.303754553817*D7 - 0.25338201366*F6 + 0.269148503584*F7 + 0.00378757678133*E6 + 0.43547234846*E7 - 12.2555082812*H6 + 15.7710625006*H7 + 0.517281394734*G6 - 0.299449478792*G7 - 3.00478655786</f>
        <v>542.31511099156103</v>
      </c>
      <c r="X17" s="142">
        <f>W17*1.15</f>
        <v>623.66237764029518</v>
      </c>
      <c r="Y17" s="142">
        <f xml:space="preserve"> 0.080991528041*D5 + 0.303754553817*D6 - 0.25338201366*F5 + 0.269148503584*F6 + 0.00378757678133*E5 + 0.43547234846*E6 - 12.2555082812*H5 + 15.7710625006*H6 + 0.517281394734*G5 - 0.299449478792*G6 - 3.00478655786</f>
        <v>533.83240366345638</v>
      </c>
      <c r="Z17" s="130"/>
      <c r="AA17" s="130"/>
      <c r="AB17" s="130"/>
    </row>
    <row r="18" spans="2:39" x14ac:dyDescent="0.3">
      <c r="B18" s="4">
        <v>45748</v>
      </c>
      <c r="C18" s="143">
        <v>315</v>
      </c>
      <c r="D18" s="143">
        <v>305</v>
      </c>
      <c r="E18" s="144">
        <v>224.375</v>
      </c>
      <c r="F18" s="144">
        <v>302.5</v>
      </c>
      <c r="G18" s="144">
        <v>341.25</v>
      </c>
      <c r="H18" s="144">
        <v>3.4732250000000002</v>
      </c>
      <c r="I18" s="144">
        <v>66.927272727272737</v>
      </c>
      <c r="J18" s="154">
        <f t="shared" si="3"/>
        <v>1.2861736334405145E-2</v>
      </c>
      <c r="K18" s="154">
        <f t="shared" si="4"/>
        <v>1.3289036544850499E-2</v>
      </c>
      <c r="L18" s="154">
        <f t="shared" si="5"/>
        <v>-5.0264550264550262E-2</v>
      </c>
      <c r="M18" s="154">
        <f t="shared" si="6"/>
        <v>-2.0242914979757085E-2</v>
      </c>
      <c r="N18" s="154">
        <f t="shared" si="7"/>
        <v>-3.1914893617021274E-2</v>
      </c>
      <c r="O18" s="154">
        <f t="shared" si="8"/>
        <v>-0.16073240866035174</v>
      </c>
      <c r="P18" s="154">
        <f t="shared" si="9"/>
        <v>-6.7104265136882141E-2</v>
      </c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</row>
    <row r="19" spans="2:39" x14ac:dyDescent="0.3">
      <c r="B19" s="4">
        <v>45717</v>
      </c>
      <c r="C19" s="143">
        <v>311</v>
      </c>
      <c r="D19" s="143">
        <v>301</v>
      </c>
      <c r="E19" s="144">
        <v>236.25</v>
      </c>
      <c r="F19" s="144">
        <v>308.75</v>
      </c>
      <c r="G19" s="144">
        <v>352.5</v>
      </c>
      <c r="H19" s="144">
        <v>4.1383999999999999</v>
      </c>
      <c r="I19" s="144">
        <v>71.741428571428571</v>
      </c>
      <c r="J19" s="154">
        <f t="shared" si="3"/>
        <v>3.2258064516129032E-3</v>
      </c>
      <c r="K19" s="154">
        <f t="shared" si="4"/>
        <v>-2.2727272727272728E-2</v>
      </c>
      <c r="L19" s="154">
        <f t="shared" si="5"/>
        <v>-1.5625E-2</v>
      </c>
      <c r="M19" s="154">
        <f t="shared" si="6"/>
        <v>-0.10018214936247723</v>
      </c>
      <c r="N19" s="154">
        <f t="shared" si="7"/>
        <v>-8.143322475570032E-2</v>
      </c>
      <c r="O19" s="154">
        <f t="shared" si="8"/>
        <v>9.9961792115886086E-2</v>
      </c>
      <c r="P19" s="154">
        <f t="shared" si="9"/>
        <v>-4.5902829100733136E-2</v>
      </c>
    </row>
    <row r="20" spans="2:39" x14ac:dyDescent="0.3">
      <c r="B20" s="4">
        <v>45689</v>
      </c>
      <c r="C20" s="143">
        <v>310</v>
      </c>
      <c r="D20" s="143">
        <v>308</v>
      </c>
      <c r="E20" s="144">
        <v>240</v>
      </c>
      <c r="F20" s="144">
        <v>343.125</v>
      </c>
      <c r="G20" s="144">
        <v>383.75</v>
      </c>
      <c r="H20" s="144">
        <v>3.7623125000000002</v>
      </c>
      <c r="I20" s="144">
        <v>75.192999999999998</v>
      </c>
      <c r="J20" s="154">
        <f t="shared" si="3"/>
        <v>2.9900332225913623E-2</v>
      </c>
      <c r="K20" s="154">
        <f t="shared" si="4"/>
        <v>0.11594202898550725</v>
      </c>
      <c r="L20" s="154">
        <f t="shared" si="5"/>
        <v>8.4010840108401055E-2</v>
      </c>
      <c r="M20" s="154">
        <f t="shared" si="6"/>
        <v>-0.13895859473023839</v>
      </c>
      <c r="N20" s="154">
        <f t="shared" si="7"/>
        <v>0.11393323657474601</v>
      </c>
      <c r="O20" s="154">
        <f t="shared" si="8"/>
        <v>8.2763176583777777E-3</v>
      </c>
      <c r="P20" s="154">
        <f t="shared" si="9"/>
        <v>-3.8377834369404965E-2</v>
      </c>
    </row>
    <row r="21" spans="2:39" x14ac:dyDescent="0.3">
      <c r="B21" s="4">
        <v>45658</v>
      </c>
      <c r="C21" s="143">
        <v>301</v>
      </c>
      <c r="D21" s="143">
        <v>276</v>
      </c>
      <c r="E21" s="144">
        <v>221.4</v>
      </c>
      <c r="F21" s="144">
        <v>398.5</v>
      </c>
      <c r="G21" s="144">
        <v>344.5</v>
      </c>
      <c r="H21" s="144">
        <v>3.7314299999999996</v>
      </c>
      <c r="I21" s="144">
        <v>78.193913043478261</v>
      </c>
      <c r="J21" s="154">
        <f t="shared" si="3"/>
        <v>0.11481481481481481</v>
      </c>
      <c r="K21" s="154">
        <f t="shared" si="4"/>
        <v>0.13114754098360656</v>
      </c>
      <c r="L21" s="154">
        <f t="shared" si="5"/>
        <v>5.7921635434412524E-3</v>
      </c>
      <c r="M21" s="154">
        <f t="shared" si="6"/>
        <v>-3.9759036144578312E-2</v>
      </c>
      <c r="N21" s="154">
        <f t="shared" si="7"/>
        <v>0.1024</v>
      </c>
      <c r="O21" s="154">
        <f t="shared" si="8"/>
        <v>0.10270509879539431</v>
      </c>
      <c r="P21" s="154">
        <f t="shared" si="9"/>
        <v>6.7818379126462242E-2</v>
      </c>
      <c r="R21" s="197" t="s">
        <v>85</v>
      </c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D21" s="198" t="s">
        <v>86</v>
      </c>
      <c r="AE21" s="198"/>
      <c r="AF21" s="198"/>
      <c r="AG21" s="198"/>
      <c r="AH21" s="198"/>
      <c r="AI21" s="198"/>
      <c r="AJ21" s="198"/>
      <c r="AK21" s="198"/>
      <c r="AL21" s="198"/>
      <c r="AM21" s="198"/>
    </row>
    <row r="22" spans="2:39" x14ac:dyDescent="0.3">
      <c r="B22" s="4">
        <v>45627</v>
      </c>
      <c r="C22" s="143">
        <v>270</v>
      </c>
      <c r="D22" s="143">
        <v>244</v>
      </c>
      <c r="E22" s="144">
        <v>220.125</v>
      </c>
      <c r="F22" s="144">
        <v>415</v>
      </c>
      <c r="G22" s="144">
        <v>312.5</v>
      </c>
      <c r="H22" s="144">
        <v>3.3838874999999997</v>
      </c>
      <c r="I22" s="144">
        <v>73.227727272727265</v>
      </c>
      <c r="J22" s="154">
        <f t="shared" si="3"/>
        <v>0</v>
      </c>
      <c r="K22" s="154">
        <f t="shared" si="4"/>
        <v>-7.9245283018867921E-2</v>
      </c>
      <c r="L22" s="154">
        <f t="shared" si="5"/>
        <v>-7.510504201680672E-2</v>
      </c>
      <c r="M22" s="154">
        <f t="shared" si="6"/>
        <v>-3.4883720930232558E-2</v>
      </c>
      <c r="N22" s="154">
        <f t="shared" si="7"/>
        <v>-1.2013910844135349E-2</v>
      </c>
      <c r="O22" s="154">
        <f t="shared" si="8"/>
        <v>0.15587692780652768</v>
      </c>
      <c r="P22" s="154">
        <f t="shared" si="9"/>
        <v>-3.8205633763004321E-3</v>
      </c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D22" s="198"/>
      <c r="AE22" s="198"/>
      <c r="AF22" s="198"/>
      <c r="AG22" s="198"/>
      <c r="AH22" s="198"/>
      <c r="AI22" s="198"/>
      <c r="AJ22" s="198"/>
      <c r="AK22" s="198"/>
      <c r="AL22" s="198"/>
      <c r="AM22" s="198"/>
    </row>
    <row r="23" spans="2:39" x14ac:dyDescent="0.3">
      <c r="B23" s="4">
        <v>45597</v>
      </c>
      <c r="C23" s="143">
        <v>270</v>
      </c>
      <c r="D23" s="143">
        <v>265</v>
      </c>
      <c r="E23" s="144">
        <v>238</v>
      </c>
      <c r="F23" s="144">
        <v>430</v>
      </c>
      <c r="G23" s="144">
        <v>316.3</v>
      </c>
      <c r="H23" s="144">
        <v>2.9275499999999997</v>
      </c>
      <c r="I23" s="144">
        <v>73.508571428571429</v>
      </c>
      <c r="J23" s="154">
        <f t="shared" si="3"/>
        <v>0</v>
      </c>
      <c r="K23" s="154">
        <f t="shared" si="4"/>
        <v>2.3166023166023165E-2</v>
      </c>
      <c r="L23" s="154">
        <f t="shared" si="5"/>
        <v>-1.8556701030927835E-2</v>
      </c>
      <c r="M23" s="154">
        <f t="shared" si="6"/>
        <v>0</v>
      </c>
      <c r="N23" s="154">
        <f t="shared" si="7"/>
        <v>-1.7320388349514527E-2</v>
      </c>
      <c r="O23" s="154">
        <f t="shared" si="8"/>
        <v>0.12628399953833694</v>
      </c>
      <c r="P23" s="154">
        <f t="shared" si="9"/>
        <v>-2.3356337850338752E-2</v>
      </c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D23" s="198"/>
      <c r="AE23" s="198"/>
      <c r="AF23" s="198"/>
      <c r="AG23" s="198"/>
      <c r="AH23" s="198"/>
      <c r="AI23" s="198"/>
      <c r="AJ23" s="198"/>
      <c r="AK23" s="198"/>
      <c r="AL23" s="198"/>
      <c r="AM23" s="198"/>
    </row>
    <row r="24" spans="2:39" x14ac:dyDescent="0.3">
      <c r="B24" s="4">
        <v>45566</v>
      </c>
      <c r="C24" s="143">
        <v>270</v>
      </c>
      <c r="D24" s="143">
        <v>259</v>
      </c>
      <c r="E24" s="144">
        <v>242.5</v>
      </c>
      <c r="F24" s="144">
        <v>430</v>
      </c>
      <c r="G24" s="144">
        <v>321.875</v>
      </c>
      <c r="H24" s="144">
        <v>2.5993000000000004</v>
      </c>
      <c r="I24" s="144">
        <v>75.266521739130425</v>
      </c>
      <c r="J24" s="154">
        <f t="shared" si="3"/>
        <v>7.1428571428571425E-2</v>
      </c>
      <c r="K24" s="154">
        <f t="shared" si="4"/>
        <v>0.13100436681222707</v>
      </c>
      <c r="L24" s="154">
        <f t="shared" si="5"/>
        <v>-2.2670025188916875E-2</v>
      </c>
      <c r="M24" s="154">
        <f t="shared" si="6"/>
        <v>0.10610932475884244</v>
      </c>
      <c r="N24" s="154">
        <f t="shared" si="7"/>
        <v>6.6252587991718431E-2</v>
      </c>
      <c r="O24" s="154">
        <f t="shared" si="8"/>
        <v>9.4874292483875397E-2</v>
      </c>
      <c r="P24" s="154">
        <f t="shared" si="9"/>
        <v>3.0235076372686104E-2</v>
      </c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</row>
    <row r="25" spans="2:39" x14ac:dyDescent="0.3">
      <c r="B25" s="4">
        <v>45536</v>
      </c>
      <c r="C25" s="143">
        <v>252</v>
      </c>
      <c r="D25" s="143">
        <v>229</v>
      </c>
      <c r="E25" s="144">
        <v>248.125</v>
      </c>
      <c r="F25" s="144">
        <v>388.75</v>
      </c>
      <c r="G25" s="144">
        <v>301.875</v>
      </c>
      <c r="H25" s="144">
        <v>2.3740625</v>
      </c>
      <c r="I25" s="144">
        <v>73.057619047619056</v>
      </c>
      <c r="J25" s="154">
        <f t="shared" si="3"/>
        <v>-9.0252707581227443E-2</v>
      </c>
      <c r="K25" s="154">
        <f t="shared" si="4"/>
        <v>-8.4000000000000005E-2</v>
      </c>
      <c r="L25" s="154">
        <f t="shared" si="5"/>
        <v>3.8179916317991634E-2</v>
      </c>
      <c r="M25" s="154">
        <f t="shared" si="6"/>
        <v>0.1251808972503618</v>
      </c>
      <c r="N25" s="154">
        <f t="shared" si="7"/>
        <v>-3.7128712871287127E-3</v>
      </c>
      <c r="O25" s="154">
        <f t="shared" si="8"/>
        <v>0.14240876369025887</v>
      </c>
      <c r="P25" s="154">
        <f t="shared" si="9"/>
        <v>-7.5438119288534181E-2</v>
      </c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D25" s="198"/>
      <c r="AE25" s="198"/>
      <c r="AF25" s="198"/>
      <c r="AG25" s="198"/>
      <c r="AH25" s="198"/>
      <c r="AI25" s="198"/>
      <c r="AJ25" s="198"/>
      <c r="AK25" s="198"/>
      <c r="AL25" s="198"/>
      <c r="AM25" s="198"/>
    </row>
    <row r="26" spans="2:39" x14ac:dyDescent="0.3">
      <c r="B26" s="4">
        <v>45505</v>
      </c>
      <c r="C26" s="143">
        <v>277</v>
      </c>
      <c r="D26" s="143">
        <v>250</v>
      </c>
      <c r="E26" s="144">
        <v>239</v>
      </c>
      <c r="F26" s="144">
        <v>345.5</v>
      </c>
      <c r="G26" s="144">
        <v>303</v>
      </c>
      <c r="H26" s="144">
        <v>2.0781199999999993</v>
      </c>
      <c r="I26" s="144">
        <v>79.018636363636361</v>
      </c>
      <c r="J26" s="154">
        <f t="shared" si="3"/>
        <v>1.8382352941176471E-2</v>
      </c>
      <c r="K26" s="154">
        <f t="shared" si="4"/>
        <v>-3.1007751937984496E-2</v>
      </c>
      <c r="L26" s="154">
        <f t="shared" si="5"/>
        <v>7.415730337078652E-2</v>
      </c>
      <c r="M26" s="154">
        <f t="shared" si="6"/>
        <v>0.13278688524590163</v>
      </c>
      <c r="N26" s="154">
        <f t="shared" si="7"/>
        <v>-1.862348178137652E-2</v>
      </c>
      <c r="O26" s="154">
        <f t="shared" si="8"/>
        <v>-7.5044787412789887E-2</v>
      </c>
      <c r="P26" s="154">
        <f t="shared" si="9"/>
        <v>-5.9846964304525074E-2</v>
      </c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D26" s="198"/>
      <c r="AE26" s="198"/>
      <c r="AF26" s="198"/>
      <c r="AG26" s="198"/>
      <c r="AH26" s="198"/>
      <c r="AI26" s="198"/>
      <c r="AJ26" s="198"/>
      <c r="AK26" s="198"/>
      <c r="AL26" s="198"/>
      <c r="AM26" s="198"/>
    </row>
    <row r="27" spans="2:39" x14ac:dyDescent="0.3">
      <c r="B27" s="4">
        <v>45474</v>
      </c>
      <c r="C27" s="143">
        <v>272</v>
      </c>
      <c r="D27" s="143">
        <v>258</v>
      </c>
      <c r="E27" s="144">
        <v>222.5</v>
      </c>
      <c r="F27" s="144">
        <v>305</v>
      </c>
      <c r="G27" s="144">
        <v>308.75</v>
      </c>
      <c r="H27" s="144">
        <v>2.2467249999999996</v>
      </c>
      <c r="I27" s="144">
        <v>84.048695652173905</v>
      </c>
      <c r="J27" s="154">
        <f t="shared" si="3"/>
        <v>7.4074074074074077E-3</v>
      </c>
      <c r="K27" s="154">
        <f t="shared" si="4"/>
        <v>0.12173913043478261</v>
      </c>
      <c r="L27" s="154">
        <f t="shared" si="5"/>
        <v>9.5384615384615387E-2</v>
      </c>
      <c r="M27" s="154">
        <f t="shared" si="6"/>
        <v>4.7210300429184553E-2</v>
      </c>
      <c r="N27" s="154">
        <f t="shared" si="7"/>
        <v>4.6610169491525424E-2</v>
      </c>
      <c r="O27" s="154">
        <f t="shared" si="8"/>
        <v>-0.19999465885672835</v>
      </c>
      <c r="P27" s="154">
        <f t="shared" si="9"/>
        <v>1.3642423519448856E-2</v>
      </c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D27" s="198"/>
      <c r="AE27" s="198"/>
      <c r="AF27" s="198"/>
      <c r="AG27" s="198"/>
      <c r="AH27" s="198"/>
      <c r="AI27" s="198"/>
      <c r="AJ27" s="198"/>
      <c r="AK27" s="198"/>
      <c r="AL27" s="198"/>
      <c r="AM27" s="198"/>
    </row>
    <row r="28" spans="2:39" x14ac:dyDescent="0.3">
      <c r="B28" s="4">
        <v>45444</v>
      </c>
      <c r="C28" s="143">
        <v>270</v>
      </c>
      <c r="D28" s="143">
        <v>230</v>
      </c>
      <c r="E28" s="144">
        <v>203.125</v>
      </c>
      <c r="F28" s="144">
        <v>291.25</v>
      </c>
      <c r="G28" s="144">
        <v>295</v>
      </c>
      <c r="H28" s="144">
        <v>2.8083874999999998</v>
      </c>
      <c r="I28" s="144">
        <v>82.917500000000004</v>
      </c>
      <c r="J28" s="154">
        <f t="shared" si="3"/>
        <v>-0.1</v>
      </c>
      <c r="K28" s="154">
        <f t="shared" si="4"/>
        <v>-0.11538461538461539</v>
      </c>
      <c r="L28" s="154">
        <f t="shared" si="5"/>
        <v>0.11301369863013698</v>
      </c>
      <c r="M28" s="154">
        <f t="shared" si="6"/>
        <v>4.954954954954955E-2</v>
      </c>
      <c r="N28" s="154">
        <f t="shared" si="7"/>
        <v>0.1752988047808765</v>
      </c>
      <c r="O28" s="154">
        <f t="shared" si="8"/>
        <v>0.17451695872192718</v>
      </c>
      <c r="P28" s="154">
        <f t="shared" si="9"/>
        <v>-1.642463774185392E-3</v>
      </c>
    </row>
    <row r="29" spans="2:39" x14ac:dyDescent="0.3">
      <c r="B29" s="4">
        <v>45413</v>
      </c>
      <c r="C29" s="143">
        <v>300</v>
      </c>
      <c r="D29" s="143">
        <v>260</v>
      </c>
      <c r="E29" s="144">
        <v>182.5</v>
      </c>
      <c r="F29" s="144">
        <v>277.5</v>
      </c>
      <c r="G29" s="144">
        <v>251</v>
      </c>
      <c r="H29" s="144">
        <v>2.3910999999999998</v>
      </c>
      <c r="I29" s="144">
        <v>83.053913043478261</v>
      </c>
      <c r="J29" s="154">
        <f t="shared" si="3"/>
        <v>-9.0909090909090912E-2</v>
      </c>
      <c r="K29" s="154">
        <f t="shared" si="4"/>
        <v>-0.13333333333333333</v>
      </c>
      <c r="L29" s="154">
        <f t="shared" si="5"/>
        <v>-0.11246200607902736</v>
      </c>
      <c r="M29" s="154">
        <f t="shared" si="6"/>
        <v>4.2743071864725223E-2</v>
      </c>
      <c r="N29" s="154">
        <f t="shared" si="7"/>
        <v>-6.1682242990654203E-2</v>
      </c>
      <c r="O29" s="154">
        <f t="shared" si="8"/>
        <v>0.35143842197479225</v>
      </c>
      <c r="P29" s="154">
        <f t="shared" si="9"/>
        <v>-6.6542991378268634E-2</v>
      </c>
      <c r="S29" s="198" t="s">
        <v>78</v>
      </c>
      <c r="T29" s="198"/>
      <c r="U29" s="198" t="s">
        <v>79</v>
      </c>
      <c r="V29" s="198"/>
    </row>
    <row r="30" spans="2:39" ht="28.8" x14ac:dyDescent="0.3">
      <c r="B30" s="4">
        <v>45383</v>
      </c>
      <c r="C30" s="143">
        <v>330</v>
      </c>
      <c r="D30" s="143">
        <v>300</v>
      </c>
      <c r="E30" s="144">
        <v>205.625</v>
      </c>
      <c r="F30" s="144">
        <v>266.125</v>
      </c>
      <c r="G30" s="144">
        <v>267.5</v>
      </c>
      <c r="H30" s="144">
        <v>1.7692999999999999</v>
      </c>
      <c r="I30" s="144">
        <v>88.974545454545449</v>
      </c>
      <c r="J30" s="154">
        <f t="shared" si="3"/>
        <v>0</v>
      </c>
      <c r="K30" s="154">
        <f t="shared" si="4"/>
        <v>0</v>
      </c>
      <c r="L30" s="154">
        <f t="shared" si="5"/>
        <v>-0.10597826086956522</v>
      </c>
      <c r="M30" s="154">
        <f t="shared" si="6"/>
        <v>-0.12745901639344262</v>
      </c>
      <c r="N30" s="154">
        <f t="shared" si="7"/>
        <v>-0.11716171617161716</v>
      </c>
      <c r="O30" s="154">
        <f t="shared" si="8"/>
        <v>1.3745409125026475E-2</v>
      </c>
      <c r="P30" s="154">
        <f t="shared" si="9"/>
        <v>4.7234573977801952E-2</v>
      </c>
      <c r="S30" s="130" t="s">
        <v>82</v>
      </c>
      <c r="T30" s="130" t="s">
        <v>83</v>
      </c>
      <c r="U30" s="130" t="s">
        <v>82</v>
      </c>
      <c r="V30" s="130" t="s">
        <v>83</v>
      </c>
    </row>
    <row r="31" spans="2:39" x14ac:dyDescent="0.3">
      <c r="B31" s="4">
        <v>45352</v>
      </c>
      <c r="C31" s="143">
        <v>330</v>
      </c>
      <c r="D31" s="143">
        <v>300</v>
      </c>
      <c r="E31" s="144">
        <v>230</v>
      </c>
      <c r="F31" s="144">
        <v>305</v>
      </c>
      <c r="G31" s="144">
        <v>303</v>
      </c>
      <c r="H31" s="144">
        <v>1.7453099999999999</v>
      </c>
      <c r="I31" s="144">
        <v>84.96142857142857</v>
      </c>
      <c r="J31" s="154">
        <f t="shared" si="3"/>
        <v>0</v>
      </c>
      <c r="K31" s="154">
        <f t="shared" si="4"/>
        <v>-3.2258064516129031E-2</v>
      </c>
      <c r="L31" s="154">
        <f t="shared" si="5"/>
        <v>9.8507462686567168E-2</v>
      </c>
      <c r="M31" s="154">
        <f t="shared" si="6"/>
        <v>-6.1538461538461542E-2</v>
      </c>
      <c r="N31" s="154">
        <f t="shared" si="7"/>
        <v>-1.3832384052074858E-2</v>
      </c>
      <c r="O31" s="154">
        <f t="shared" si="8"/>
        <v>-6.2392221117945755E-2</v>
      </c>
      <c r="P31" s="154">
        <f t="shared" si="9"/>
        <v>3.8702691373980316E-2</v>
      </c>
      <c r="R31" t="s">
        <v>87</v>
      </c>
      <c r="S31" s="132">
        <f xml:space="preserve"> 0.280558110643*C8 + 0.15041224611*C9 - 0.188812610795*F8 + 0.259276330013*F9 + 0.249001945549*E8 - 0.0911542671384*E9 - 11.8844751787*H8 + 5.64643067713*H9 + 0.185696475006*G8 + 0.247343345212*G9 - 3.75210437468+20</f>
        <v>429.43102760978138</v>
      </c>
      <c r="T31" s="136">
        <f>S31*1.15</f>
        <v>493.84568175124855</v>
      </c>
      <c r="U31" s="132">
        <f xml:space="preserve"> 0.280558110643*C7+ 0.15041224611*C8 - 0.188812610795*F7 + 0.259276330013*F8 + 0.249001945549*E7 - 0.0911542671384*E8 - 11.8844751787*H7 + 5.64643067713*H8 + 0.185696475006*G7 + 0.247343345212*G8 - 3.75210437468+20</f>
        <v>494.67004322263546</v>
      </c>
      <c r="V31" s="142">
        <f>U31*1.15</f>
        <v>568.87054970603072</v>
      </c>
      <c r="W31" s="132">
        <f xml:space="preserve"> 0.280558110643*E7+ 0.15041224611*E8 - 0.188812610795*H7 + 0.259276330013*H8 + 0.249001945549*G7 - 0.0911542671384*G8 - 11.8844751787*J7 + 5.64643067713*J8 + 0.185696475006*I7 + 0.247343345212*I8 - 3.75210437468+20</f>
        <v>320.3705149431089</v>
      </c>
      <c r="X31" s="142">
        <f>W31*1.15</f>
        <v>368.42609218457523</v>
      </c>
      <c r="Y31" s="132">
        <f xml:space="preserve"> 0.280558110643*C5+ 0.15041224611*C6 - 0.188812610795*F5 + 0.259276330013*F6 + 0.249001945549*E5 - 0.0911542671384*E6 - 11.8844751787*H5 + 5.64643067713*H6 + 0.185696475006*G5 + 0.247343345212*G6 - 3.75210437468+20</f>
        <v>691.86779541662952</v>
      </c>
      <c r="Z31" s="130"/>
      <c r="AA31" s="130"/>
      <c r="AB31" s="130"/>
      <c r="AC31" s="130"/>
      <c r="AE31" s="130"/>
      <c r="AF31" s="130"/>
      <c r="AG31" s="130"/>
      <c r="AH31" s="130"/>
      <c r="AI31" s="130"/>
      <c r="AJ31" s="130"/>
      <c r="AK31" s="130"/>
      <c r="AL31" s="130"/>
      <c r="AM31" s="130"/>
    </row>
    <row r="32" spans="2:39" x14ac:dyDescent="0.3">
      <c r="B32" s="4">
        <v>45323</v>
      </c>
      <c r="C32" s="143">
        <v>330</v>
      </c>
      <c r="D32" s="143">
        <v>310</v>
      </c>
      <c r="E32" s="144">
        <v>209.375</v>
      </c>
      <c r="F32" s="144">
        <v>325</v>
      </c>
      <c r="G32" s="144">
        <v>307.25</v>
      </c>
      <c r="H32" s="144">
        <v>1.86145</v>
      </c>
      <c r="I32" s="144">
        <v>81.795714285714297</v>
      </c>
      <c r="J32" s="154">
        <f t="shared" si="3"/>
        <v>0</v>
      </c>
      <c r="K32" s="154">
        <f t="shared" si="4"/>
        <v>0</v>
      </c>
      <c r="L32" s="154">
        <f t="shared" si="5"/>
        <v>0.15120274914089346</v>
      </c>
      <c r="M32" s="154">
        <f t="shared" si="6"/>
        <v>-0.23529411764705882</v>
      </c>
      <c r="N32" s="154">
        <f t="shared" si="7"/>
        <v>0.13796296296296295</v>
      </c>
      <c r="O32" s="154">
        <f t="shared" si="8"/>
        <v>-0.3331960166212925</v>
      </c>
      <c r="P32" s="154">
        <f t="shared" si="9"/>
        <v>3.3949112447406109E-2</v>
      </c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42"/>
      <c r="AE32" s="130"/>
      <c r="AF32" s="130"/>
      <c r="AG32" s="130"/>
      <c r="AH32" s="130"/>
      <c r="AI32" s="130"/>
      <c r="AJ32" s="130"/>
      <c r="AK32" s="130"/>
      <c r="AL32" s="130"/>
      <c r="AM32" s="130"/>
    </row>
    <row r="33" spans="2:39" x14ac:dyDescent="0.3">
      <c r="B33" s="4">
        <v>45292</v>
      </c>
      <c r="C33" s="143">
        <v>330</v>
      </c>
      <c r="D33" s="143">
        <v>310</v>
      </c>
      <c r="E33" s="144">
        <v>181.875</v>
      </c>
      <c r="F33" s="144">
        <v>425</v>
      </c>
      <c r="G33" s="144">
        <v>270</v>
      </c>
      <c r="H33" s="144">
        <v>2.7916000000000003</v>
      </c>
      <c r="I33" s="144">
        <v>79.11</v>
      </c>
      <c r="J33" s="154">
        <f t="shared" si="3"/>
        <v>0</v>
      </c>
      <c r="K33" s="154">
        <f t="shared" si="4"/>
        <v>3.3333333333333333E-2</v>
      </c>
      <c r="L33" s="154">
        <f t="shared" si="5"/>
        <v>3.0453257790368272E-2</v>
      </c>
      <c r="M33" s="154">
        <f t="shared" si="6"/>
        <v>-8.2073434125269976E-2</v>
      </c>
      <c r="N33" s="154">
        <f t="shared" si="7"/>
        <v>-4.4247787610619468E-2</v>
      </c>
      <c r="O33" s="154">
        <f t="shared" si="8"/>
        <v>8.2972549384727604E-2</v>
      </c>
      <c r="P33" s="154">
        <f t="shared" si="9"/>
        <v>2.0235083151145992E-2</v>
      </c>
      <c r="S33" s="131">
        <f>0.128313602811*C8 - 0.463209414397*C9 + 0.379422553201*D8 + 0.600579570329*D9 + 0.515891500331*E8 - 0.0731750301725*E9 - 0.0618573337801*F8 + 0.179051366468*F9 + 0.173303170283*G8 - 0.143779748569*G9 - 9.81173830345*H8 + 1.28656399894*H9 + 3.13148084685</f>
        <v>427.52884457559725</v>
      </c>
      <c r="T33" s="136">
        <f>S33*1.3</f>
        <v>555.7874979482765</v>
      </c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</row>
    <row r="34" spans="2:39" x14ac:dyDescent="0.3">
      <c r="B34" s="4">
        <v>45261</v>
      </c>
      <c r="C34" s="143">
        <v>330</v>
      </c>
      <c r="D34" s="143">
        <v>300</v>
      </c>
      <c r="E34" s="144">
        <v>176.5</v>
      </c>
      <c r="F34" s="144">
        <v>463</v>
      </c>
      <c r="G34" s="144">
        <v>282.5</v>
      </c>
      <c r="H34" s="144">
        <v>2.5777200000000002</v>
      </c>
      <c r="I34" s="144">
        <v>77.540952380952376</v>
      </c>
      <c r="J34" s="154">
        <f t="shared" si="3"/>
        <v>0.17857142857142858</v>
      </c>
      <c r="K34" s="154">
        <f t="shared" si="4"/>
        <v>0</v>
      </c>
      <c r="L34" s="154">
        <f t="shared" si="5"/>
        <v>-0.10178117048346055</v>
      </c>
      <c r="M34" s="154">
        <f t="shared" si="6"/>
        <v>-0.15818181818181817</v>
      </c>
      <c r="N34" s="154">
        <f t="shared" si="7"/>
        <v>-0.17367458866544791</v>
      </c>
      <c r="O34" s="154">
        <f t="shared" si="8"/>
        <v>-0.17981449957840809</v>
      </c>
      <c r="P34" s="154">
        <f t="shared" si="9"/>
        <v>-5.6522895646837976E-2</v>
      </c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</row>
    <row r="35" spans="2:39" x14ac:dyDescent="0.3">
      <c r="B35" s="4">
        <v>45231</v>
      </c>
      <c r="C35" s="143">
        <v>280</v>
      </c>
      <c r="D35" s="143">
        <v>300</v>
      </c>
      <c r="E35" s="144">
        <v>196.5</v>
      </c>
      <c r="F35" s="144">
        <v>550</v>
      </c>
      <c r="G35" s="144">
        <v>341.875</v>
      </c>
      <c r="H35" s="144">
        <v>3.1428500000000001</v>
      </c>
      <c r="I35" s="144">
        <v>82.186363636363637</v>
      </c>
      <c r="J35" s="154">
        <f t="shared" si="3"/>
        <v>0</v>
      </c>
      <c r="K35" s="154">
        <f t="shared" si="4"/>
        <v>0.2</v>
      </c>
      <c r="L35" s="154">
        <f t="shared" si="5"/>
        <v>-0.10934844192634562</v>
      </c>
      <c r="M35" s="154">
        <f t="shared" si="6"/>
        <v>0</v>
      </c>
      <c r="N35" s="154">
        <f t="shared" si="7"/>
        <v>-4.0350877192982457E-2</v>
      </c>
      <c r="O35" s="154">
        <f t="shared" si="8"/>
        <v>8.0506775719670024E-3</v>
      </c>
      <c r="P35" s="154">
        <f t="shared" si="9"/>
        <v>-7.601502414594874E-2</v>
      </c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</row>
    <row r="36" spans="2:39" x14ac:dyDescent="0.3">
      <c r="B36" s="4">
        <v>45200</v>
      </c>
      <c r="C36" s="143">
        <v>280</v>
      </c>
      <c r="D36" s="143">
        <v>250</v>
      </c>
      <c r="E36" s="144">
        <v>220.625</v>
      </c>
      <c r="F36" s="144">
        <v>550</v>
      </c>
      <c r="G36" s="144">
        <v>356.25</v>
      </c>
      <c r="H36" s="144">
        <v>3.11775</v>
      </c>
      <c r="I36" s="144">
        <v>88.947727272727263</v>
      </c>
      <c r="J36" s="154">
        <f t="shared" si="3"/>
        <v>0</v>
      </c>
      <c r="K36" s="154">
        <f t="shared" si="4"/>
        <v>0</v>
      </c>
      <c r="L36" s="154">
        <f t="shared" si="5"/>
        <v>-0.13818359375</v>
      </c>
      <c r="M36" s="154">
        <f t="shared" si="6"/>
        <v>0.22767857142857142</v>
      </c>
      <c r="N36" s="154">
        <f t="shared" si="7"/>
        <v>2.0481237467774211E-2</v>
      </c>
      <c r="O36" s="154">
        <f t="shared" si="8"/>
        <v>0.16020526636995577</v>
      </c>
      <c r="P36" s="154">
        <f t="shared" si="9"/>
        <v>-4.0201489755478617E-2</v>
      </c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</row>
    <row r="37" spans="2:39" x14ac:dyDescent="0.3">
      <c r="B37" s="4">
        <v>45170</v>
      </c>
      <c r="C37" s="143">
        <v>280</v>
      </c>
      <c r="D37" s="143">
        <v>250</v>
      </c>
      <c r="E37" s="144">
        <v>256</v>
      </c>
      <c r="F37" s="144">
        <v>448</v>
      </c>
      <c r="G37" s="144">
        <v>349.1</v>
      </c>
      <c r="H37" s="144">
        <v>2.6872400000000001</v>
      </c>
      <c r="I37" s="144">
        <v>92.673333333333318</v>
      </c>
      <c r="J37" s="154">
        <f t="shared" si="3"/>
        <v>0</v>
      </c>
      <c r="K37" s="154">
        <f t="shared" si="4"/>
        <v>0</v>
      </c>
      <c r="L37" s="154">
        <f t="shared" si="5"/>
        <v>0.1838150289017341</v>
      </c>
      <c r="M37" s="154">
        <f t="shared" si="6"/>
        <v>0.34232209737827718</v>
      </c>
      <c r="N37" s="154">
        <f t="shared" si="7"/>
        <v>-2.3496503496503434E-2</v>
      </c>
      <c r="O37" s="154">
        <f t="shared" si="8"/>
        <v>1.8414719648305142E-2</v>
      </c>
      <c r="P37" s="154">
        <f t="shared" si="9"/>
        <v>8.8120532075465108E-2</v>
      </c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</row>
    <row r="38" spans="2:39" x14ac:dyDescent="0.3">
      <c r="B38" s="4">
        <v>45139</v>
      </c>
      <c r="C38" s="143">
        <v>280</v>
      </c>
      <c r="D38" s="143">
        <v>250</v>
      </c>
      <c r="E38" s="144">
        <v>216.25</v>
      </c>
      <c r="F38" s="144">
        <v>333.75</v>
      </c>
      <c r="G38" s="144">
        <v>357.5</v>
      </c>
      <c r="H38" s="144">
        <v>2.6386499999999997</v>
      </c>
      <c r="I38" s="144">
        <v>85.168260869565216</v>
      </c>
      <c r="J38" s="154">
        <f t="shared" si="3"/>
        <v>-0.15151515151515152</v>
      </c>
      <c r="K38" s="154">
        <f t="shared" si="4"/>
        <v>-0.16666666666666666</v>
      </c>
      <c r="L38" s="154">
        <f t="shared" si="5"/>
        <v>0.44769874476987448</v>
      </c>
      <c r="M38" s="154">
        <f t="shared" si="6"/>
        <v>0.29611650485436891</v>
      </c>
      <c r="N38" s="154">
        <f t="shared" si="7"/>
        <v>0.16925592804578904</v>
      </c>
      <c r="O38" s="154">
        <f t="shared" si="8"/>
        <v>6.9686411149814953E-4</v>
      </c>
      <c r="P38" s="154">
        <f t="shared" si="9"/>
        <v>6.3154080604931148E-2</v>
      </c>
    </row>
    <row r="39" spans="2:39" x14ac:dyDescent="0.3">
      <c r="B39" s="4">
        <v>45108</v>
      </c>
      <c r="C39" s="143">
        <v>330</v>
      </c>
      <c r="D39" s="143">
        <v>300</v>
      </c>
      <c r="E39" s="144">
        <v>149.375</v>
      </c>
      <c r="F39" s="144">
        <v>257.5</v>
      </c>
      <c r="G39" s="144">
        <v>305.75</v>
      </c>
      <c r="H39" s="144">
        <v>2.6368125</v>
      </c>
      <c r="I39" s="144">
        <v>80.109047619047615</v>
      </c>
      <c r="J39" s="154">
        <f t="shared" si="3"/>
        <v>0</v>
      </c>
      <c r="K39" s="154">
        <f t="shared" si="4"/>
        <v>0</v>
      </c>
      <c r="L39" s="154">
        <f t="shared" si="5"/>
        <v>9.432234432234432E-2</v>
      </c>
      <c r="M39" s="154">
        <f t="shared" si="6"/>
        <v>0.25</v>
      </c>
      <c r="N39" s="154">
        <f t="shared" si="7"/>
        <v>0.20326643053915783</v>
      </c>
      <c r="O39" s="154">
        <f t="shared" si="8"/>
        <v>7.3668812528248362E-2</v>
      </c>
      <c r="P39" s="154">
        <f t="shared" si="9"/>
        <v>6.8476793851918918E-2</v>
      </c>
    </row>
    <row r="40" spans="2:39" x14ac:dyDescent="0.3">
      <c r="B40" s="4">
        <v>45078</v>
      </c>
      <c r="C40" s="143">
        <v>330</v>
      </c>
      <c r="D40" s="143">
        <v>300</v>
      </c>
      <c r="E40" s="144">
        <v>136.5</v>
      </c>
      <c r="F40" s="144">
        <v>206</v>
      </c>
      <c r="G40" s="144">
        <v>254.1</v>
      </c>
      <c r="H40" s="144">
        <v>2.4558900000000001</v>
      </c>
      <c r="I40" s="144">
        <v>74.974999999999994</v>
      </c>
      <c r="J40" s="154">
        <f t="shared" si="3"/>
        <v>0</v>
      </c>
      <c r="K40" s="154">
        <f t="shared" si="4"/>
        <v>-0.34782608695652173</v>
      </c>
      <c r="L40" s="154">
        <f t="shared" si="5"/>
        <v>-0.22277580071174377</v>
      </c>
      <c r="M40" s="154">
        <f t="shared" si="6"/>
        <v>-0.14611398963730571</v>
      </c>
      <c r="N40" s="154">
        <f t="shared" si="7"/>
        <v>-0.1404651162790698</v>
      </c>
      <c r="O40" s="154">
        <f t="shared" si="8"/>
        <v>6.7963993738041517E-2</v>
      </c>
      <c r="P40" s="154">
        <f t="shared" si="9"/>
        <v>-1.0196936040271267E-2</v>
      </c>
    </row>
    <row r="41" spans="2:39" x14ac:dyDescent="0.3">
      <c r="B41" s="4">
        <v>45047</v>
      </c>
      <c r="C41" s="143">
        <v>330</v>
      </c>
      <c r="D41" s="143">
        <v>460</v>
      </c>
      <c r="E41" s="144">
        <v>175.625</v>
      </c>
      <c r="F41" s="144">
        <v>241.25</v>
      </c>
      <c r="G41" s="144">
        <v>295.625</v>
      </c>
      <c r="H41" s="144">
        <v>2.2995999999999999</v>
      </c>
      <c r="I41" s="144">
        <v>75.747391304347829</v>
      </c>
      <c r="J41" s="154">
        <f t="shared" si="3"/>
        <v>-0.4</v>
      </c>
      <c r="K41" s="154">
        <f t="shared" si="4"/>
        <v>0</v>
      </c>
      <c r="L41" s="154">
        <f t="shared" si="5"/>
        <v>-0.14224664224664224</v>
      </c>
      <c r="M41" s="154">
        <f t="shared" si="6"/>
        <v>-0.10854503464203233</v>
      </c>
      <c r="N41" s="154">
        <f t="shared" si="7"/>
        <v>3.2751091703056769E-2</v>
      </c>
      <c r="O41" s="154">
        <f t="shared" si="8"/>
        <v>5.1029502502342394E-2</v>
      </c>
      <c r="P41" s="154">
        <f t="shared" si="9"/>
        <v>-9.3236553050806498E-2</v>
      </c>
    </row>
    <row r="42" spans="2:39" x14ac:dyDescent="0.3">
      <c r="B42" s="4">
        <v>45017</v>
      </c>
      <c r="C42" s="143">
        <v>550</v>
      </c>
      <c r="D42" s="143">
        <v>460</v>
      </c>
      <c r="E42" s="144">
        <v>204.75</v>
      </c>
      <c r="F42" s="144">
        <v>270.625</v>
      </c>
      <c r="G42" s="144">
        <v>286.25</v>
      </c>
      <c r="H42" s="144">
        <v>2.1879499999999998</v>
      </c>
      <c r="I42" s="144">
        <v>83.536000000000001</v>
      </c>
      <c r="J42" s="154">
        <f t="shared" si="3"/>
        <v>0</v>
      </c>
      <c r="K42" s="154">
        <f t="shared" si="4"/>
        <v>0</v>
      </c>
      <c r="L42" s="154">
        <f t="shared" si="5"/>
        <v>-0.22059383326988957</v>
      </c>
      <c r="M42" s="154">
        <f t="shared" si="6"/>
        <v>-0.36843640606767797</v>
      </c>
      <c r="N42" s="154">
        <f t="shared" si="7"/>
        <v>-2.9661016949152543E-2</v>
      </c>
      <c r="O42" s="154">
        <f t="shared" si="8"/>
        <v>-0.10119213894868297</v>
      </c>
      <c r="P42" s="154">
        <f t="shared" si="9"/>
        <v>5.3995282242580524E-2</v>
      </c>
    </row>
    <row r="43" spans="2:39" x14ac:dyDescent="0.3">
      <c r="B43" s="4">
        <v>44986</v>
      </c>
      <c r="C43" s="143">
        <v>550</v>
      </c>
      <c r="D43" s="143">
        <v>460</v>
      </c>
      <c r="E43" s="144">
        <v>262.7</v>
      </c>
      <c r="F43" s="144">
        <v>428.5</v>
      </c>
      <c r="G43" s="144">
        <v>295</v>
      </c>
      <c r="H43" s="144">
        <v>2.4342799999999998</v>
      </c>
      <c r="I43" s="144">
        <v>79.256521739130434</v>
      </c>
      <c r="J43" s="154">
        <f t="shared" si="3"/>
        <v>1.8518518518518517E-2</v>
      </c>
      <c r="K43" s="154">
        <f t="shared" si="4"/>
        <v>-0.08</v>
      </c>
      <c r="L43" s="154">
        <f t="shared" si="5"/>
        <v>-2.6135310472659913E-2</v>
      </c>
      <c r="M43" s="154">
        <f t="shared" si="6"/>
        <v>-0.35925233644859811</v>
      </c>
      <c r="N43" s="154">
        <f t="shared" si="7"/>
        <v>-9.2307692307692313E-2</v>
      </c>
      <c r="O43" s="154">
        <f t="shared" si="8"/>
        <v>4.9042272126815006E-3</v>
      </c>
      <c r="P43" s="154">
        <f t="shared" si="9"/>
        <v>-5.2323896342564902E-2</v>
      </c>
    </row>
    <row r="44" spans="2:39" x14ac:dyDescent="0.3">
      <c r="B44" s="4">
        <v>44958</v>
      </c>
      <c r="C44" s="143">
        <v>540</v>
      </c>
      <c r="D44" s="143">
        <v>500</v>
      </c>
      <c r="E44" s="144">
        <v>269.75</v>
      </c>
      <c r="F44" s="144">
        <v>668.75</v>
      </c>
      <c r="G44" s="144">
        <v>325</v>
      </c>
      <c r="H44" s="144">
        <v>2.4224000000000001</v>
      </c>
      <c r="I44" s="144">
        <v>83.632499999999993</v>
      </c>
      <c r="J44" s="154">
        <f t="shared" si="3"/>
        <v>-1.8181818181818181E-2</v>
      </c>
      <c r="K44" s="154">
        <f t="shared" si="4"/>
        <v>0</v>
      </c>
      <c r="L44" s="154">
        <f t="shared" si="5"/>
        <v>-0.23745583038869258</v>
      </c>
      <c r="M44" s="154">
        <f t="shared" si="6"/>
        <v>-0.18569254185692541</v>
      </c>
      <c r="N44" s="154">
        <f t="shared" si="7"/>
        <v>-0.22388059701492538</v>
      </c>
      <c r="O44" s="154">
        <f t="shared" si="8"/>
        <v>-0.31112343414523164</v>
      </c>
      <c r="P44" s="154">
        <f t="shared" si="9"/>
        <v>-5.3438209536166483E-3</v>
      </c>
    </row>
    <row r="45" spans="2:39" x14ac:dyDescent="0.3">
      <c r="B45" s="4">
        <v>44927</v>
      </c>
      <c r="C45" s="143">
        <v>550</v>
      </c>
      <c r="D45" s="143">
        <v>500</v>
      </c>
      <c r="E45" s="144">
        <v>353.75</v>
      </c>
      <c r="F45" s="144">
        <v>821.25</v>
      </c>
      <c r="G45" s="144">
        <v>418.75</v>
      </c>
      <c r="H45" s="144">
        <v>3.5164499999999999</v>
      </c>
      <c r="I45" s="144">
        <v>84.081818181818178</v>
      </c>
      <c r="J45" s="154">
        <f t="shared" si="3"/>
        <v>1.8518518518518517E-2</v>
      </c>
      <c r="K45" s="154">
        <f t="shared" si="4"/>
        <v>0</v>
      </c>
      <c r="L45" s="154">
        <f t="shared" si="5"/>
        <v>-8.968090581574889E-2</v>
      </c>
      <c r="M45" s="154">
        <f t="shared" si="6"/>
        <v>-8.1889323644494125E-2</v>
      </c>
      <c r="N45" s="154">
        <f t="shared" si="7"/>
        <v>-0.14801627670396744</v>
      </c>
      <c r="O45" s="154">
        <f t="shared" si="8"/>
        <v>-0.40099548759984266</v>
      </c>
      <c r="P45" s="154">
        <f t="shared" si="9"/>
        <v>3.1638474794625969E-2</v>
      </c>
    </row>
    <row r="46" spans="2:39" x14ac:dyDescent="0.3">
      <c r="B46" s="4">
        <v>44896</v>
      </c>
      <c r="C46" s="143">
        <v>540</v>
      </c>
      <c r="D46" s="143">
        <v>500</v>
      </c>
      <c r="E46" s="144">
        <v>388.6</v>
      </c>
      <c r="F46" s="144">
        <v>894.5</v>
      </c>
      <c r="G46" s="144">
        <v>491.5</v>
      </c>
      <c r="H46" s="144">
        <v>5.8704900000000002</v>
      </c>
      <c r="I46" s="144">
        <v>81.503181818181815</v>
      </c>
      <c r="J46" s="154">
        <f t="shared" si="3"/>
        <v>-1.8181818181818181E-2</v>
      </c>
      <c r="K46" s="154">
        <f t="shared" si="4"/>
        <v>0</v>
      </c>
      <c r="L46" s="154">
        <f t="shared" si="5"/>
        <v>-5.5022392834292444E-3</v>
      </c>
      <c r="M46" s="154">
        <f t="shared" si="6"/>
        <v>-0.13102610807528842</v>
      </c>
      <c r="N46" s="154">
        <f t="shared" si="7"/>
        <v>-4.7941888619854718E-2</v>
      </c>
      <c r="O46" s="154">
        <f t="shared" si="8"/>
        <v>-7.8956420781370495E-2</v>
      </c>
      <c r="P46" s="154">
        <f t="shared" si="9"/>
        <v>-0.10375627920925701</v>
      </c>
    </row>
    <row r="47" spans="2:39" x14ac:dyDescent="0.3">
      <c r="B47" s="4">
        <v>44866</v>
      </c>
      <c r="C47" s="143">
        <v>550</v>
      </c>
      <c r="D47" s="143">
        <v>500</v>
      </c>
      <c r="E47" s="144">
        <v>390.75</v>
      </c>
      <c r="F47" s="144">
        <v>1029.375</v>
      </c>
      <c r="G47" s="144">
        <v>516.25</v>
      </c>
      <c r="H47" s="144">
        <v>6.3737375000000007</v>
      </c>
      <c r="I47" s="144">
        <v>90.938636363636363</v>
      </c>
      <c r="J47" s="154">
        <f t="shared" si="3"/>
        <v>3.7735849056603772E-2</v>
      </c>
      <c r="K47" s="154">
        <f t="shared" si="4"/>
        <v>0</v>
      </c>
      <c r="L47" s="154">
        <f t="shared" si="5"/>
        <v>2.7951331798750412E-2</v>
      </c>
      <c r="M47" s="154">
        <f t="shared" si="6"/>
        <v>-1.9642857142857142E-2</v>
      </c>
      <c r="N47" s="154">
        <f t="shared" si="7"/>
        <v>-2.9377203290246769E-2</v>
      </c>
      <c r="O47" s="154">
        <f t="shared" si="8"/>
        <v>4.9796999044701563E-2</v>
      </c>
      <c r="P47" s="154">
        <f t="shared" si="9"/>
        <v>-2.9662584721042509E-2</v>
      </c>
    </row>
    <row r="48" spans="2:39" x14ac:dyDescent="0.3">
      <c r="B48" s="4">
        <v>44835</v>
      </c>
      <c r="C48" s="143">
        <v>530</v>
      </c>
      <c r="D48" s="143">
        <v>500</v>
      </c>
      <c r="E48" s="144">
        <v>380.125</v>
      </c>
      <c r="F48" s="144">
        <v>1050</v>
      </c>
      <c r="G48" s="144">
        <v>531.875</v>
      </c>
      <c r="H48" s="144">
        <v>6.0713999999999997</v>
      </c>
      <c r="I48" s="144">
        <v>93.718571428571437</v>
      </c>
      <c r="J48" s="154">
        <f t="shared" si="3"/>
        <v>0</v>
      </c>
      <c r="K48" s="154">
        <f t="shared" si="4"/>
        <v>0</v>
      </c>
      <c r="L48" s="154">
        <f t="shared" si="5"/>
        <v>0.17649334571340133</v>
      </c>
      <c r="M48" s="154">
        <f t="shared" si="6"/>
        <v>-3.0023094688221709E-2</v>
      </c>
      <c r="N48" s="154">
        <f t="shared" si="7"/>
        <v>-7.7566770724939338E-2</v>
      </c>
      <c r="O48" s="154">
        <f t="shared" si="8"/>
        <v>-0.23497198904258731</v>
      </c>
      <c r="P48" s="154">
        <f t="shared" si="9"/>
        <v>3.4327911100026885E-2</v>
      </c>
    </row>
    <row r="49" spans="2:16" x14ac:dyDescent="0.3">
      <c r="B49" s="4">
        <v>44805</v>
      </c>
      <c r="C49" s="143">
        <v>530</v>
      </c>
      <c r="D49" s="143">
        <v>500</v>
      </c>
      <c r="E49" s="144">
        <v>323.10000000000002</v>
      </c>
      <c r="F49" s="144">
        <v>1082.5</v>
      </c>
      <c r="G49" s="144">
        <v>576.6</v>
      </c>
      <c r="H49" s="144">
        <v>7.9361800000000002</v>
      </c>
      <c r="I49" s="144">
        <v>90.608181818181819</v>
      </c>
      <c r="J49" s="154">
        <f t="shared" si="3"/>
        <v>-3.6363636363636362E-2</v>
      </c>
      <c r="K49" s="154">
        <f t="shared" si="4"/>
        <v>0</v>
      </c>
      <c r="L49" s="154">
        <f t="shared" si="5"/>
        <v>-1.0034469551895756E-2</v>
      </c>
      <c r="M49" s="154">
        <f t="shared" si="6"/>
        <v>0.17027027027027028</v>
      </c>
      <c r="N49" s="154">
        <f t="shared" si="7"/>
        <v>0.12727272727272732</v>
      </c>
      <c r="O49" s="154">
        <f t="shared" si="8"/>
        <v>-8.9918924807632736E-2</v>
      </c>
      <c r="P49" s="154">
        <f t="shared" si="9"/>
        <v>-7.2046726622622043E-2</v>
      </c>
    </row>
    <row r="50" spans="2:16" x14ac:dyDescent="0.3">
      <c r="B50" s="4">
        <v>44774</v>
      </c>
      <c r="C50" s="143">
        <v>550</v>
      </c>
      <c r="D50" s="143">
        <v>500</v>
      </c>
      <c r="E50" s="144">
        <v>326.375</v>
      </c>
      <c r="F50" s="144">
        <v>925</v>
      </c>
      <c r="G50" s="144">
        <v>511.5</v>
      </c>
      <c r="H50" s="144">
        <v>8.7202999999999999</v>
      </c>
      <c r="I50" s="144">
        <v>97.643043478260878</v>
      </c>
      <c r="J50" s="154" t="e">
        <f t="shared" si="3"/>
        <v>#DIV/0!</v>
      </c>
      <c r="K50" s="154" t="e">
        <f t="shared" si="4"/>
        <v>#DIV/0!</v>
      </c>
      <c r="L50" s="154" t="e">
        <f t="shared" si="5"/>
        <v>#DIV/0!</v>
      </c>
      <c r="M50" s="154" t="e">
        <f t="shared" si="6"/>
        <v>#DIV/0!</v>
      </c>
      <c r="N50" s="154" t="e">
        <f t="shared" si="7"/>
        <v>#DIV/0!</v>
      </c>
      <c r="O50" s="154" t="e">
        <f t="shared" si="8"/>
        <v>#DIV/0!</v>
      </c>
      <c r="P50" s="154" t="e">
        <f t="shared" si="9"/>
        <v>#DIV/0!</v>
      </c>
    </row>
  </sheetData>
  <autoFilter ref="B2:B50" xr:uid="{1355C30C-2A74-4C52-9ADF-6FC9AD201434}">
    <sortState xmlns:xlrd2="http://schemas.microsoft.com/office/spreadsheetml/2017/richdata2" ref="B3:B50">
      <sortCondition descending="1" ref="B2:B50"/>
    </sortState>
  </autoFilter>
  <mergeCells count="11">
    <mergeCell ref="R7:AB13"/>
    <mergeCell ref="R21:AB27"/>
    <mergeCell ref="AD21:AM27"/>
    <mergeCell ref="S15:T15"/>
    <mergeCell ref="S29:T29"/>
    <mergeCell ref="U15:V15"/>
    <mergeCell ref="U29:V29"/>
    <mergeCell ref="W15:X15"/>
    <mergeCell ref="Y15:Z15"/>
    <mergeCell ref="AA15:AB15"/>
    <mergeCell ref="AC15:AD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DF381-253A-40C1-952D-CD4F1EE0D488}">
  <dimension ref="A1:BD210"/>
  <sheetViews>
    <sheetView zoomScaleNormal="100" workbookViewId="0">
      <selection activeCell="AH24" sqref="AH23:AJ24"/>
    </sheetView>
  </sheetViews>
  <sheetFormatPr defaultRowHeight="14.4" x14ac:dyDescent="0.3"/>
  <cols>
    <col min="1" max="1" width="11.33203125" bestFit="1" customWidth="1"/>
    <col min="2" max="2" width="5" bestFit="1" customWidth="1"/>
    <col min="3" max="3" width="6.88671875" bestFit="1" customWidth="1"/>
    <col min="4" max="4" width="7.44140625" style="143" bestFit="1" customWidth="1"/>
    <col min="5" max="5" width="7.6640625" style="143" bestFit="1" customWidth="1"/>
    <col min="6" max="6" width="10.44140625" style="143" bestFit="1" customWidth="1"/>
    <col min="7" max="7" width="11" style="143" bestFit="1" customWidth="1"/>
    <col min="8" max="8" width="6.5546875" style="143" bestFit="1" customWidth="1"/>
    <col min="9" max="9" width="11.5546875" style="131" bestFit="1" customWidth="1"/>
    <col min="10" max="10" width="8.33203125" style="143" bestFit="1" customWidth="1"/>
    <col min="11" max="16" width="8.109375" style="131" customWidth="1"/>
    <col min="17" max="17" width="9" style="138" bestFit="1" customWidth="1"/>
    <col min="18" max="18" width="9.5546875" style="138" bestFit="1" customWidth="1"/>
    <col min="19" max="19" width="7.6640625" style="138" bestFit="1" customWidth="1"/>
    <col min="20" max="20" width="11.44140625" style="138" bestFit="1" customWidth="1"/>
    <col min="21" max="21" width="8.109375" style="138" bestFit="1" customWidth="1"/>
    <col min="22" max="23" width="7.6640625" bestFit="1" customWidth="1"/>
    <col min="24" max="24" width="9" bestFit="1" customWidth="1"/>
    <col min="25" max="25" width="9.5546875" bestFit="1" customWidth="1"/>
    <col min="26" max="26" width="7.6640625" bestFit="1" customWidth="1"/>
    <col min="27" max="27" width="11.44140625" bestFit="1" customWidth="1"/>
    <col min="28" max="30" width="7.6640625" bestFit="1" customWidth="1"/>
    <col min="31" max="31" width="9" bestFit="1" customWidth="1"/>
    <col min="32" max="32" width="9.5546875" bestFit="1" customWidth="1"/>
    <col min="33" max="33" width="7.6640625" bestFit="1" customWidth="1"/>
    <col min="34" max="34" width="11.44140625" bestFit="1" customWidth="1"/>
    <col min="35" max="37" width="7.6640625" bestFit="1" customWidth="1"/>
    <col min="40" max="42" width="8" bestFit="1" customWidth="1"/>
    <col min="44" max="44" width="10.33203125" bestFit="1" customWidth="1"/>
    <col min="45" max="45" width="9.5546875" bestFit="1" customWidth="1"/>
  </cols>
  <sheetData>
    <row r="1" spans="1:49" x14ac:dyDescent="0.3">
      <c r="A1" s="159"/>
      <c r="B1" s="159"/>
      <c r="C1" s="159"/>
      <c r="D1" s="209" t="s">
        <v>88</v>
      </c>
      <c r="E1" s="209"/>
      <c r="F1" s="209"/>
      <c r="G1" s="209"/>
      <c r="H1" s="209"/>
      <c r="I1" s="209"/>
      <c r="J1" s="209"/>
      <c r="K1" s="211" t="s">
        <v>89</v>
      </c>
      <c r="L1" s="212"/>
      <c r="M1" s="212"/>
      <c r="N1" s="212"/>
      <c r="O1" s="212"/>
      <c r="P1" s="213"/>
      <c r="Q1" s="206" t="s">
        <v>90</v>
      </c>
      <c r="R1" s="206"/>
      <c r="S1" s="206"/>
      <c r="T1" s="206"/>
      <c r="U1" s="206"/>
      <c r="V1" s="206"/>
      <c r="W1" s="206"/>
      <c r="X1" s="207" t="s">
        <v>91</v>
      </c>
      <c r="Y1" s="207"/>
      <c r="Z1" s="207"/>
      <c r="AA1" s="207"/>
      <c r="AB1" s="207"/>
      <c r="AC1" s="207"/>
      <c r="AD1" s="207"/>
      <c r="AE1" s="208" t="s">
        <v>92</v>
      </c>
      <c r="AF1" s="208"/>
      <c r="AG1" s="208"/>
      <c r="AH1" s="208"/>
      <c r="AI1" s="208"/>
      <c r="AJ1" s="208"/>
      <c r="AK1" s="208"/>
      <c r="AL1" s="158"/>
    </row>
    <row r="2" spans="1:49" s="2" customFormat="1" ht="15" customHeight="1" x14ac:dyDescent="0.3">
      <c r="A2" s="160" t="s">
        <v>93</v>
      </c>
      <c r="B2" s="160" t="s">
        <v>1</v>
      </c>
      <c r="C2" s="160" t="s">
        <v>2</v>
      </c>
      <c r="D2" s="187" t="s">
        <v>4</v>
      </c>
      <c r="E2" s="187" t="s">
        <v>70</v>
      </c>
      <c r="F2" s="187" t="s">
        <v>71</v>
      </c>
      <c r="G2" s="187" t="s">
        <v>72</v>
      </c>
      <c r="H2" s="187" t="s">
        <v>73</v>
      </c>
      <c r="I2" s="162" t="s">
        <v>74</v>
      </c>
      <c r="J2" s="187" t="s">
        <v>75</v>
      </c>
      <c r="K2" s="161" t="s">
        <v>4</v>
      </c>
      <c r="L2" s="161" t="s">
        <v>70</v>
      </c>
      <c r="M2" s="161" t="s">
        <v>71</v>
      </c>
      <c r="N2" s="161" t="s">
        <v>72</v>
      </c>
      <c r="O2" s="161" t="s">
        <v>73</v>
      </c>
      <c r="P2" s="161" t="s">
        <v>74</v>
      </c>
      <c r="Q2" s="163" t="s">
        <v>71</v>
      </c>
      <c r="R2" s="163" t="s">
        <v>72</v>
      </c>
      <c r="S2" s="163" t="s">
        <v>73</v>
      </c>
      <c r="T2" s="163" t="s">
        <v>74</v>
      </c>
      <c r="U2" s="164" t="s">
        <v>75</v>
      </c>
      <c r="V2" s="163" t="s">
        <v>4</v>
      </c>
      <c r="W2" s="163" t="s">
        <v>70</v>
      </c>
      <c r="X2" s="165" t="s">
        <v>71</v>
      </c>
      <c r="Y2" s="165" t="s">
        <v>72</v>
      </c>
      <c r="Z2" s="165" t="s">
        <v>73</v>
      </c>
      <c r="AA2" s="165" t="s">
        <v>74</v>
      </c>
      <c r="AB2" s="165" t="s">
        <v>75</v>
      </c>
      <c r="AC2" s="166" t="s">
        <v>4</v>
      </c>
      <c r="AD2" s="166" t="s">
        <v>70</v>
      </c>
      <c r="AE2" s="167" t="s">
        <v>71</v>
      </c>
      <c r="AF2" s="167" t="s">
        <v>72</v>
      </c>
      <c r="AG2" s="167" t="s">
        <v>73</v>
      </c>
      <c r="AH2" s="167" t="s">
        <v>74</v>
      </c>
      <c r="AI2" s="167" t="s">
        <v>75</v>
      </c>
      <c r="AJ2" s="168" t="s">
        <v>4</v>
      </c>
      <c r="AK2" s="168" t="s">
        <v>70</v>
      </c>
      <c r="AM2" s="197" t="s">
        <v>77</v>
      </c>
      <c r="AN2" s="197"/>
      <c r="AO2" s="197"/>
      <c r="AP2" s="197"/>
      <c r="AQ2" s="197"/>
      <c r="AR2" s="197"/>
      <c r="AS2" s="197"/>
      <c r="AT2" s="197"/>
      <c r="AU2" s="197"/>
      <c r="AV2" s="197"/>
      <c r="AW2" s="197"/>
    </row>
    <row r="3" spans="1:49" s="2" customFormat="1" ht="15" customHeight="1" x14ac:dyDescent="0.3">
      <c r="A3" s="160"/>
      <c r="B3" s="160"/>
      <c r="C3" s="160"/>
      <c r="D3" s="187"/>
      <c r="E3" s="187"/>
      <c r="F3" s="187"/>
      <c r="G3" s="187"/>
      <c r="H3" s="187"/>
      <c r="I3" s="162"/>
      <c r="J3" s="187"/>
      <c r="K3" s="203">
        <f>AVERAGE(D4:D6)</f>
        <v>467.90460899183472</v>
      </c>
      <c r="L3" s="203">
        <f>AVERAGE(E4:E6)</f>
        <v>459.06484093122754</v>
      </c>
      <c r="M3" s="203">
        <f>AVERAGE(F3:F6)</f>
        <v>392.5</v>
      </c>
      <c r="N3" s="203">
        <f t="shared" ref="N3" si="0">AVERAGE(G3:G6)</f>
        <v>770</v>
      </c>
      <c r="O3" s="203">
        <f t="shared" ref="O3" si="1">AVERAGE(H3:H6)</f>
        <v>362</v>
      </c>
      <c r="P3" s="203">
        <f>AVERAGE(I3:I6)</f>
        <v>3.2389999999999999</v>
      </c>
      <c r="Q3" s="163"/>
      <c r="R3" s="163"/>
      <c r="S3" s="163"/>
      <c r="T3" s="163"/>
      <c r="U3" s="164"/>
      <c r="V3" s="163"/>
      <c r="W3" s="163"/>
      <c r="X3" s="165"/>
      <c r="Y3" s="165"/>
      <c r="Z3" s="165"/>
      <c r="AA3" s="165"/>
      <c r="AB3" s="165"/>
      <c r="AC3" s="166"/>
      <c r="AD3" s="166"/>
      <c r="AE3" s="167"/>
      <c r="AF3" s="167"/>
      <c r="AG3" s="167"/>
      <c r="AH3" s="167"/>
      <c r="AI3" s="167"/>
      <c r="AJ3" s="168"/>
      <c r="AK3" s="168"/>
      <c r="AM3" s="197"/>
      <c r="AN3" s="197"/>
      <c r="AO3" s="197"/>
      <c r="AP3" s="197"/>
      <c r="AQ3" s="197"/>
      <c r="AR3" s="197"/>
      <c r="AS3" s="197"/>
      <c r="AT3" s="197"/>
      <c r="AU3" s="197"/>
      <c r="AV3" s="197"/>
      <c r="AW3" s="197"/>
    </row>
    <row r="4" spans="1:49" s="2" customFormat="1" ht="15" customHeight="1" x14ac:dyDescent="0.3">
      <c r="A4" s="186">
        <f t="shared" ref="A4:A8" si="2">A5+7</f>
        <v>46220</v>
      </c>
      <c r="B4" s="159">
        <f t="shared" ref="B4:B9" si="3">YEAR(A4)</f>
        <v>2026</v>
      </c>
      <c r="C4" s="159">
        <f t="shared" ref="C4:C9" si="4">MONTH(A4)</f>
        <v>7</v>
      </c>
      <c r="D4" s="189">
        <f xml:space="preserve"> 0.280558110643*D5 + 0.15041224611*D6 - 0.188812610795*G5 + 0.259276330013*G6 + 0.249001945549*F5 - 0.0911542671384*F6 - 11.8844751787*I5 + 5.64643067713*I6 + 0.185696475006*H5 + 0.247343345212*H6- 3.75210437468</f>
        <v>452.43013243586557</v>
      </c>
      <c r="E4" s="189">
        <f xml:space="preserve"> 0.080991528041*E5 + 0.303754553817*E6 - 0.25338201366*G5 + 0.269148503584*G6 + 0.00378757678133*F5 + 0.43547234846*F6 - 12.2555082812*I5 + 15.7710625006*I6 + 0.517281394734*H5 - 0.299449478792*H6 - 3.00478655786</f>
        <v>450.86300640093111</v>
      </c>
      <c r="F4" s="188"/>
      <c r="G4" s="188"/>
      <c r="H4" s="188"/>
      <c r="I4" s="173"/>
      <c r="J4" s="188"/>
      <c r="K4" s="204"/>
      <c r="L4" s="204"/>
      <c r="M4" s="204"/>
      <c r="N4" s="204"/>
      <c r="O4" s="204"/>
      <c r="P4" s="204"/>
      <c r="Q4" s="163"/>
      <c r="R4" s="163"/>
      <c r="S4" s="163"/>
      <c r="T4" s="163"/>
      <c r="U4" s="164"/>
      <c r="V4" s="163"/>
      <c r="W4" s="163"/>
      <c r="X4" s="165"/>
      <c r="Y4" s="165"/>
      <c r="Z4" s="165"/>
      <c r="AA4" s="165"/>
      <c r="AB4" s="165"/>
      <c r="AC4" s="166"/>
      <c r="AD4" s="166"/>
      <c r="AE4" s="167"/>
      <c r="AF4" s="167"/>
      <c r="AG4" s="167"/>
      <c r="AH4" s="167"/>
      <c r="AI4" s="167"/>
      <c r="AJ4" s="168"/>
      <c r="AK4" s="168"/>
      <c r="AM4" s="197"/>
      <c r="AN4" s="197"/>
      <c r="AO4" s="197"/>
      <c r="AP4" s="197"/>
      <c r="AQ4" s="197"/>
      <c r="AR4" s="197"/>
      <c r="AS4" s="197"/>
      <c r="AT4" s="197"/>
      <c r="AU4" s="197"/>
      <c r="AV4" s="197"/>
      <c r="AW4" s="197"/>
    </row>
    <row r="5" spans="1:49" s="2" customFormat="1" x14ac:dyDescent="0.3">
      <c r="A5" s="186">
        <f t="shared" si="2"/>
        <v>46213</v>
      </c>
      <c r="B5" s="159">
        <f t="shared" si="3"/>
        <v>2026</v>
      </c>
      <c r="C5" s="159">
        <f t="shared" si="4"/>
        <v>7</v>
      </c>
      <c r="D5" s="189">
        <f xml:space="preserve"> 0.280558110643*D6 + 0.15041224611*D7 - 0.188812610795*G6 + 0.259276330013*G7 + 0.249001945549*F6 - 0.0911542671384*F7 - 11.8844751787*I6 + 5.64643067713*I7 + 0.185696475006*H6 + 0.247343345212*H7- 3.75210437468</f>
        <v>463.5556687963047</v>
      </c>
      <c r="E5" s="189">
        <f xml:space="preserve"> 0.080991528041*E6 + 0.303754553817*E7 - 0.25338201366*G6 + 0.269148503584*G7 + 0.00378757678133*F6 + 0.43547234846*F7 - 12.2555082812*I6 + 15.7710625006*I7 + 0.517281394734*H6 - 0.299449478792*H7 - 3.00478655786</f>
        <v>459.23857749591764</v>
      </c>
      <c r="F5" s="188">
        <v>392.5</v>
      </c>
      <c r="G5" s="188">
        <v>770</v>
      </c>
      <c r="H5" s="188">
        <v>362</v>
      </c>
      <c r="I5" s="173">
        <v>3.2389999999999999</v>
      </c>
      <c r="J5" s="188"/>
      <c r="K5" s="204"/>
      <c r="L5" s="204"/>
      <c r="M5" s="204"/>
      <c r="N5" s="204"/>
      <c r="O5" s="204"/>
      <c r="P5" s="204"/>
      <c r="Q5" s="163"/>
      <c r="R5" s="163"/>
      <c r="S5" s="163"/>
      <c r="T5" s="163"/>
      <c r="U5" s="164"/>
      <c r="V5" s="163"/>
      <c r="W5" s="163"/>
      <c r="X5" s="165"/>
      <c r="Y5" s="165"/>
      <c r="Z5" s="165"/>
      <c r="AA5" s="165"/>
      <c r="AB5" s="165"/>
      <c r="AC5" s="166"/>
      <c r="AD5" s="166"/>
      <c r="AE5" s="167"/>
      <c r="AF5" s="167"/>
      <c r="AG5" s="167"/>
      <c r="AH5" s="167"/>
      <c r="AI5" s="167"/>
      <c r="AJ5" s="168"/>
      <c r="AK5" s="168"/>
      <c r="AM5" s="197"/>
      <c r="AN5" s="197"/>
      <c r="AO5" s="197"/>
      <c r="AP5" s="197"/>
      <c r="AQ5" s="197"/>
      <c r="AR5" s="197"/>
      <c r="AS5" s="197"/>
      <c r="AT5" s="197"/>
      <c r="AU5" s="197"/>
      <c r="AV5" s="197"/>
      <c r="AW5" s="197"/>
    </row>
    <row r="6" spans="1:49" s="2" customFormat="1" x14ac:dyDescent="0.3">
      <c r="A6" s="186">
        <f t="shared" si="2"/>
        <v>46206</v>
      </c>
      <c r="B6" s="159">
        <f t="shared" si="3"/>
        <v>2026</v>
      </c>
      <c r="C6" s="159">
        <f t="shared" si="4"/>
        <v>7</v>
      </c>
      <c r="D6" s="189">
        <f xml:space="preserve"> 0.280558110643*D7 + 0.15041224611*D8 - 0.188812610795*G7 + 0.259276330013*G8 + 0.249001945549*F7 - 0.0911542671384*F8 - 11.8844751787*I7 + 5.64643067713*I8 + 0.185696475006*H7 + 0.247343345212*H8- 3.75210437468</f>
        <v>487.728025743334</v>
      </c>
      <c r="E6" s="189">
        <f t="shared" ref="E6:E19" si="5" xml:space="preserve"> 0.080991528041*E7 + 0.303754553817*E8 - 0.25338201366*G7 + 0.269148503584*G8 + 0.00378757678133*F7 + 0.43547234846*F8 - 12.2555082812*I7 + 15.7710625006*I8 + 0.517281394734*H7 - 0.299449478792*H8 - 3.00478655786</f>
        <v>467.0929388968338</v>
      </c>
      <c r="F6" s="188">
        <v>392.5</v>
      </c>
      <c r="G6" s="188">
        <v>770</v>
      </c>
      <c r="H6" s="188">
        <v>362</v>
      </c>
      <c r="I6" s="173">
        <v>3.2389999999999999</v>
      </c>
      <c r="J6" s="188"/>
      <c r="K6" s="205"/>
      <c r="L6" s="205"/>
      <c r="M6" s="205"/>
      <c r="N6" s="205"/>
      <c r="O6" s="205"/>
      <c r="P6" s="205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2"/>
      <c r="AI6" s="172"/>
      <c r="AJ6" s="172"/>
      <c r="AK6" s="172"/>
      <c r="AM6" s="197"/>
      <c r="AN6" s="197"/>
      <c r="AO6" s="197"/>
      <c r="AP6" s="197"/>
      <c r="AQ6" s="197"/>
      <c r="AR6" s="197"/>
      <c r="AS6" s="197"/>
      <c r="AT6" s="197"/>
      <c r="AU6" s="197"/>
      <c r="AV6" s="197"/>
      <c r="AW6" s="197"/>
    </row>
    <row r="7" spans="1:49" s="2" customFormat="1" x14ac:dyDescent="0.3">
      <c r="A7" s="186">
        <f t="shared" si="2"/>
        <v>46199</v>
      </c>
      <c r="B7" s="159">
        <f t="shared" si="3"/>
        <v>2026</v>
      </c>
      <c r="C7" s="159">
        <f t="shared" si="4"/>
        <v>6</v>
      </c>
      <c r="D7" s="189">
        <f xml:space="preserve"> 0.280558110643*D8 + 0.15041224611*D9 - 0.188812610795*G8 + 0.259276330013*G9 + 0.249001945549*F8 - 0.0911542671384*F9 - 11.8844751787*I8 + 5.64643067713*I9 + 0.185696475006*H8 + 0.247343345212*H9- 3.75210437468</f>
        <v>516.60722725738981</v>
      </c>
      <c r="E7" s="189">
        <f xml:space="preserve"> 0.080991528041*E8 + 0.303754553817*E9 - 0.25338201366*G8 + 0.269148503584*G9 + 0.00378757678133*F8 + 0.43547234846*F9 - 12.2555082812*I8 + 15.7710625006*I9 + 0.517281394734*H8 - 0.299449478792*H9 - 3.00478655786</f>
        <v>492.57217621553656</v>
      </c>
      <c r="F7" s="188">
        <v>392.5</v>
      </c>
      <c r="G7" s="188">
        <v>770</v>
      </c>
      <c r="H7" s="188">
        <v>362</v>
      </c>
      <c r="I7" s="173">
        <v>3.2389999999999999</v>
      </c>
      <c r="J7" s="188"/>
      <c r="K7" s="203">
        <f t="shared" ref="K7:P7" si="6">AVERAGE(D7:D10)</f>
        <v>576.44977054165599</v>
      </c>
      <c r="L7" s="203">
        <f t="shared" si="6"/>
        <v>519.49285073428632</v>
      </c>
      <c r="M7" s="203">
        <f t="shared" si="6"/>
        <v>417.5</v>
      </c>
      <c r="N7" s="203">
        <f t="shared" si="6"/>
        <v>790</v>
      </c>
      <c r="O7" s="203">
        <f t="shared" si="6"/>
        <v>406.125</v>
      </c>
      <c r="P7" s="203">
        <f t="shared" si="6"/>
        <v>3.2022500000000003</v>
      </c>
      <c r="Q7" s="172">
        <f>(F7-F8)/F8</f>
        <v>-5.9880239520958084E-2</v>
      </c>
      <c r="R7" s="172">
        <f t="shared" ref="R7" si="7">(G7-G8)/G8</f>
        <v>-2.5316455696202531E-2</v>
      </c>
      <c r="S7" s="172">
        <f t="shared" ref="S7" si="8">(H7-H8)/H8</f>
        <v>-8.3544303797468356E-2</v>
      </c>
      <c r="T7" s="172">
        <f t="shared" ref="T7" si="9">(I7-I8)/I8</f>
        <v>1.5360501567398098E-2</v>
      </c>
      <c r="U7" s="172"/>
      <c r="V7" s="172">
        <f t="shared" ref="V7" si="10">(D6-D7)/D7</f>
        <v>-5.5901659888446142E-2</v>
      </c>
      <c r="W7" s="172">
        <f t="shared" ref="W7" si="11">(E6-E7)/E7</f>
        <v>-5.1726911403038159E-2</v>
      </c>
      <c r="X7" s="172">
        <f t="shared" ref="X7" si="12">(F7-F11)/F11</f>
        <v>-0.16042780748663102</v>
      </c>
      <c r="Y7" s="172">
        <f>(G7-G11)/G11</f>
        <v>-3.7499999999999999E-2</v>
      </c>
      <c r="Z7" s="172">
        <f t="shared" ref="Z7" si="13">(H7-H11)/H11</f>
        <v>-0.33577981651376149</v>
      </c>
      <c r="AA7" s="172">
        <f t="shared" ref="AA7" si="14">(I7-I11)/I11</f>
        <v>6.8976897689769001E-2</v>
      </c>
      <c r="AB7" s="172"/>
      <c r="AC7" s="172">
        <f t="shared" ref="AC7" si="15">(D7-D11)/D11</f>
        <v>-0.23642267527383332</v>
      </c>
      <c r="AD7" s="172">
        <f t="shared" ref="AD7" si="16">(E7-E11)/E11</f>
        <v>-0.16098817740051369</v>
      </c>
      <c r="AE7" s="172">
        <f t="shared" ref="AE7" si="17">(F7-F59)/F59</f>
        <v>0.30833333333333335</v>
      </c>
      <c r="AF7" s="172">
        <f t="shared" ref="AF7" si="18">(G7-G59)/G59</f>
        <v>1.6551724137931034</v>
      </c>
      <c r="AG7" s="172">
        <f t="shared" ref="AG7" si="19">(H7-H59)/H59</f>
        <v>-0.16300578034682081</v>
      </c>
      <c r="AH7" s="172">
        <f t="shared" ref="AH7" si="20">(I7-I59)/I59</f>
        <v>-8.1968142395555957E-2</v>
      </c>
      <c r="AI7" s="172">
        <f t="shared" ref="AI7" si="21">(J7-J59)/J59</f>
        <v>-1</v>
      </c>
      <c r="AJ7" s="172">
        <f t="shared" ref="AJ7" si="22">(D7-D59)/D59</f>
        <v>0.64002294367425339</v>
      </c>
      <c r="AK7" s="172">
        <f t="shared" ref="AK7" si="23">(E7-E59)/E59</f>
        <v>0.59926031238810573</v>
      </c>
      <c r="AM7" s="197"/>
      <c r="AN7" s="197"/>
      <c r="AO7" s="197"/>
      <c r="AP7" s="197"/>
      <c r="AQ7" s="197"/>
      <c r="AR7" s="197"/>
      <c r="AS7" s="197"/>
      <c r="AT7" s="197"/>
      <c r="AU7" s="197"/>
      <c r="AV7" s="197"/>
      <c r="AW7" s="197"/>
    </row>
    <row r="8" spans="1:49" s="2" customFormat="1" x14ac:dyDescent="0.3">
      <c r="A8" s="186">
        <f t="shared" si="2"/>
        <v>46192</v>
      </c>
      <c r="B8" s="159">
        <f t="shared" si="3"/>
        <v>2026</v>
      </c>
      <c r="C8" s="159">
        <f t="shared" si="4"/>
        <v>6</v>
      </c>
      <c r="D8" s="189">
        <f t="shared" ref="D8:D19" si="24" xml:space="preserve"> 0.280558110643*D9 + 0.15041224611*D10 - 0.188812610795*G9 + 0.259276330013*G10 + 0.249001945549*F9 - 0.0911542671384*F10 - 11.8844751787*I9 + 5.64643067713*I10 + 0.185696475006*H9 + 0.247343345212*H10- 3.75210437468</f>
        <v>551.6957101385708</v>
      </c>
      <c r="E8" s="189">
        <f t="shared" si="5"/>
        <v>493.15025846791463</v>
      </c>
      <c r="F8" s="188">
        <v>417.5</v>
      </c>
      <c r="G8" s="188">
        <v>790</v>
      </c>
      <c r="H8" s="188">
        <v>395</v>
      </c>
      <c r="I8" s="173">
        <v>3.19</v>
      </c>
      <c r="J8" s="188"/>
      <c r="K8" s="204"/>
      <c r="L8" s="204"/>
      <c r="M8" s="204"/>
      <c r="N8" s="204"/>
      <c r="O8" s="204"/>
      <c r="P8" s="204"/>
      <c r="Q8" s="172">
        <f>(F8-F9)/F9</f>
        <v>0</v>
      </c>
      <c r="R8" s="172">
        <f t="shared" ref="R8:R10" si="25">(G8-G9)/G9</f>
        <v>-1.2500000000000001E-2</v>
      </c>
      <c r="S8" s="172">
        <f t="shared" ref="S8:S10" si="26">(H8-H9)/H9</f>
        <v>0</v>
      </c>
      <c r="T8" s="172">
        <f t="shared" ref="T8:T10" si="27">(I8-I9)/I9</f>
        <v>1.2698412698412711E-2</v>
      </c>
      <c r="U8" s="172"/>
      <c r="V8" s="172">
        <f t="shared" ref="V8:V10" si="28">(D7-D8)/D8</f>
        <v>-6.3601152295289246E-2</v>
      </c>
      <c r="W8" s="172">
        <f t="shared" ref="W8:W10" si="29">(E7-E8)/E8</f>
        <v>-1.1722233588075436E-3</v>
      </c>
      <c r="X8" s="172">
        <f t="shared" ref="X8:Y8" si="30">(F8-F12)/F12</f>
        <v>-0.16500000000000001</v>
      </c>
      <c r="Y8" s="172">
        <f t="shared" si="30"/>
        <v>3.6065573770491806E-2</v>
      </c>
      <c r="Z8" s="172">
        <f t="shared" ref="Z8:Z10" si="31">(H8-H12)/H12</f>
        <v>-0.32188841201716739</v>
      </c>
      <c r="AA8" s="172">
        <f t="shared" ref="AA8:AA10" si="32">(I8-I12)/I12</f>
        <v>5.6291390728476796E-2</v>
      </c>
      <c r="AB8" s="172"/>
      <c r="AC8" s="172">
        <f t="shared" ref="AC8:AC10" si="33">(D8-D12)/D12</f>
        <v>-0.21724400592572027</v>
      </c>
      <c r="AD8" s="172">
        <f t="shared" ref="AD8:AD10" si="34">(E8-E12)/E12</f>
        <v>-0.16503225128446244</v>
      </c>
      <c r="AE8" s="172">
        <f t="shared" ref="AE8:AE10" si="35">(F8-F60)/F60</f>
        <v>0.81521739130434778</v>
      </c>
      <c r="AF8" s="172">
        <f t="shared" ref="AF8:AF10" si="36">(G8-G60)/G60</f>
        <v>1.7241379310344827</v>
      </c>
      <c r="AG8" s="172">
        <f t="shared" ref="AG8:AG10" si="37">(H8-H60)/H60</f>
        <v>6.369426751592357E-3</v>
      </c>
      <c r="AH8" s="172">
        <f t="shared" ref="AH8:AH10" si="38">(I8-I60)/I60</f>
        <v>-0.17330741820537751</v>
      </c>
      <c r="AI8" s="172">
        <f t="shared" ref="AI8:AI10" si="39">(J8-J60)/J60</f>
        <v>-1</v>
      </c>
      <c r="AJ8" s="172">
        <f t="shared" ref="AJ8:AJ10" si="40">(D8-D60)/D60</f>
        <v>0.75141495282085968</v>
      </c>
      <c r="AK8" s="172">
        <f t="shared" ref="AK8:AK10" si="41">(E8-E60)/E60</f>
        <v>0.60113720281790461</v>
      </c>
      <c r="AM8" s="197"/>
      <c r="AN8" s="197"/>
      <c r="AO8" s="197"/>
      <c r="AP8" s="197"/>
      <c r="AQ8" s="197"/>
      <c r="AR8" s="197"/>
      <c r="AS8" s="197"/>
      <c r="AT8" s="197"/>
      <c r="AU8" s="197"/>
      <c r="AV8" s="197"/>
      <c r="AW8" s="197"/>
    </row>
    <row r="9" spans="1:49" s="2" customFormat="1" x14ac:dyDescent="0.3">
      <c r="A9" s="186">
        <f>A10+7</f>
        <v>46185</v>
      </c>
      <c r="B9" s="159">
        <f t="shared" si="3"/>
        <v>2026</v>
      </c>
      <c r="C9" s="159">
        <f t="shared" si="4"/>
        <v>6</v>
      </c>
      <c r="D9" s="189">
        <f t="shared" si="24"/>
        <v>601.61729425790452</v>
      </c>
      <c r="E9" s="189">
        <f t="shared" si="5"/>
        <v>528.29020881753081</v>
      </c>
      <c r="F9" s="188">
        <v>417.5</v>
      </c>
      <c r="G9" s="188">
        <v>800</v>
      </c>
      <c r="H9" s="188">
        <v>395</v>
      </c>
      <c r="I9" s="173">
        <v>3.15</v>
      </c>
      <c r="J9" s="188"/>
      <c r="K9" s="204"/>
      <c r="L9" s="204"/>
      <c r="M9" s="204"/>
      <c r="N9" s="204"/>
      <c r="O9" s="204"/>
      <c r="P9" s="204"/>
      <c r="Q9" s="172">
        <f>(F9-F10)/F10</f>
        <v>-5.6497175141242938E-2</v>
      </c>
      <c r="R9" s="172">
        <f t="shared" si="25"/>
        <v>0</v>
      </c>
      <c r="S9" s="172">
        <f t="shared" si="26"/>
        <v>-0.16402116402116401</v>
      </c>
      <c r="T9" s="172">
        <f t="shared" si="27"/>
        <v>-2.4767801857585162E-2</v>
      </c>
      <c r="U9" s="172"/>
      <c r="V9" s="172">
        <f t="shared" si="28"/>
        <v>-8.2978971176206021E-2</v>
      </c>
      <c r="W9" s="172">
        <f t="shared" si="29"/>
        <v>-6.6516376346004505E-2</v>
      </c>
      <c r="X9" s="172">
        <f t="shared" ref="X9:Y9" si="42">(F9-F13)/F13</f>
        <v>-0.16500000000000001</v>
      </c>
      <c r="Y9" s="172">
        <f t="shared" si="42"/>
        <v>4.9180327868852458E-2</v>
      </c>
      <c r="Z9" s="172">
        <f t="shared" si="31"/>
        <v>-0.36032388663967613</v>
      </c>
      <c r="AA9" s="172">
        <f t="shared" si="32"/>
        <v>0.10526315789473678</v>
      </c>
      <c r="AB9" s="172"/>
      <c r="AC9" s="172">
        <f t="shared" si="33"/>
        <v>-0.16841356955618789</v>
      </c>
      <c r="AD9" s="172">
        <f t="shared" si="34"/>
        <v>-0.13846560982012113</v>
      </c>
      <c r="AE9" s="172">
        <f t="shared" si="35"/>
        <v>0.81521739130434778</v>
      </c>
      <c r="AF9" s="172">
        <f t="shared" si="36"/>
        <v>1.7586206896551724</v>
      </c>
      <c r="AG9" s="172">
        <f t="shared" si="37"/>
        <v>0.12056737588652482</v>
      </c>
      <c r="AH9" s="172">
        <f t="shared" si="38"/>
        <v>-0.11257606490872199</v>
      </c>
      <c r="AI9" s="172">
        <f t="shared" si="39"/>
        <v>-1</v>
      </c>
      <c r="AJ9" s="172">
        <f t="shared" si="40"/>
        <v>0.90989617224731589</v>
      </c>
      <c r="AK9" s="172">
        <f t="shared" si="41"/>
        <v>0.71522795070626888</v>
      </c>
      <c r="AM9" s="197"/>
      <c r="AN9" s="197"/>
      <c r="AO9" s="197"/>
      <c r="AP9" s="197"/>
      <c r="AQ9" s="197"/>
      <c r="AR9" s="197"/>
      <c r="AS9" s="197"/>
      <c r="AT9" s="197"/>
      <c r="AU9" s="197"/>
      <c r="AV9" s="197"/>
      <c r="AW9" s="197"/>
    </row>
    <row r="10" spans="1:49" s="2" customFormat="1" x14ac:dyDescent="0.3">
      <c r="A10" s="186">
        <v>46178</v>
      </c>
      <c r="B10" s="159">
        <f t="shared" ref="B10:B20" si="43">YEAR(A10)</f>
        <v>2026</v>
      </c>
      <c r="C10" s="159">
        <f t="shared" ref="C10:C20" si="44">MONTH(A10)</f>
        <v>6</v>
      </c>
      <c r="D10" s="189">
        <f t="shared" si="24"/>
        <v>635.87885051275873</v>
      </c>
      <c r="E10" s="189">
        <f t="shared" si="5"/>
        <v>563.95875943616306</v>
      </c>
      <c r="F10" s="188">
        <v>442.5</v>
      </c>
      <c r="G10" s="188">
        <v>800</v>
      </c>
      <c r="H10" s="188">
        <v>472.5</v>
      </c>
      <c r="I10" s="173">
        <v>3.23</v>
      </c>
      <c r="J10" s="188"/>
      <c r="K10" s="205"/>
      <c r="L10" s="205"/>
      <c r="M10" s="205"/>
      <c r="N10" s="205"/>
      <c r="O10" s="205"/>
      <c r="P10" s="205"/>
      <c r="Q10" s="172">
        <f t="shared" ref="Q10" si="45">(F10-F11)/F11</f>
        <v>-5.3475935828877004E-2</v>
      </c>
      <c r="R10" s="172">
        <f t="shared" si="25"/>
        <v>0</v>
      </c>
      <c r="S10" s="172">
        <f t="shared" si="26"/>
        <v>-0.13302752293577982</v>
      </c>
      <c r="T10" s="172">
        <f t="shared" si="27"/>
        <v>6.600660066006607E-2</v>
      </c>
      <c r="U10" s="172"/>
      <c r="V10" s="172">
        <f t="shared" si="28"/>
        <v>-5.3880635009682189E-2</v>
      </c>
      <c r="W10" s="172">
        <f t="shared" si="29"/>
        <v>-6.3246735726373141E-2</v>
      </c>
      <c r="X10" s="172">
        <f t="shared" ref="X10:Y10" si="46">(F10-F14)/F14</f>
        <v>-0.115</v>
      </c>
      <c r="Y10" s="172">
        <f t="shared" si="46"/>
        <v>4.9180327868852458E-2</v>
      </c>
      <c r="Z10" s="172">
        <f t="shared" si="31"/>
        <v>-0.30769230769230771</v>
      </c>
      <c r="AA10" s="172">
        <f t="shared" si="32"/>
        <v>0.15770609318996415</v>
      </c>
      <c r="AB10" s="172"/>
      <c r="AC10" s="172">
        <f t="shared" si="33"/>
        <v>-0.11092987553596599</v>
      </c>
      <c r="AD10" s="172">
        <f t="shared" si="34"/>
        <v>-8.9727715207362058E-2</v>
      </c>
      <c r="AE10" s="172">
        <f t="shared" si="35"/>
        <v>1.0344827586206897</v>
      </c>
      <c r="AF10" s="172">
        <f t="shared" si="36"/>
        <v>1.7586206896551724</v>
      </c>
      <c r="AG10" s="172">
        <f t="shared" si="37"/>
        <v>0.34042553191489361</v>
      </c>
      <c r="AH10" s="172">
        <f t="shared" si="38"/>
        <v>-0.13139353520141986</v>
      </c>
      <c r="AI10" s="172">
        <f t="shared" si="39"/>
        <v>-1</v>
      </c>
      <c r="AJ10" s="172">
        <f t="shared" si="40"/>
        <v>1.0186630175008213</v>
      </c>
      <c r="AK10" s="172">
        <f t="shared" si="41"/>
        <v>0.83103493323429567</v>
      </c>
      <c r="AM10" s="197"/>
      <c r="AN10" s="197"/>
      <c r="AO10" s="197"/>
      <c r="AP10" s="197"/>
      <c r="AQ10" s="197"/>
      <c r="AR10" s="197"/>
      <c r="AS10" s="197"/>
      <c r="AT10" s="197"/>
      <c r="AU10" s="197"/>
      <c r="AV10" s="197"/>
      <c r="AW10" s="197"/>
    </row>
    <row r="11" spans="1:49" s="2" customFormat="1" x14ac:dyDescent="0.3">
      <c r="A11" s="186">
        <v>46171</v>
      </c>
      <c r="B11" s="159">
        <f t="shared" si="43"/>
        <v>2026</v>
      </c>
      <c r="C11" s="159">
        <f t="shared" si="44"/>
        <v>5</v>
      </c>
      <c r="D11" s="189">
        <f xml:space="preserve"> 0.280558110643*D12 + 0.15041224611*D13 - 0.188812610795*G12 + 0.259276330013*G13 + 0.249001945549*F12 - 0.0911542671384*F13 - 11.8844751787*I12 + 5.64643067713*I13 + 0.185696475006*H12 + 0.247343345212*H13- 3.75210437468</f>
        <v>676.56177119017377</v>
      </c>
      <c r="E11" s="189">
        <f xml:space="preserve"> 0.080991528041*E12 + 0.303754553817*E13 - 0.25338201366*G12 + 0.269148503584*G13 + 0.00378757678133*F12 + 0.43547234846*F13 - 12.2555082812*I12 + 15.7710625006*I13 + 0.517281394734*H12 - 0.299449478792*H13 - 3.00478655786</f>
        <v>587.08609693891356</v>
      </c>
      <c r="F11" s="188">
        <v>467.5</v>
      </c>
      <c r="G11" s="188">
        <v>800</v>
      </c>
      <c r="H11" s="188">
        <v>545</v>
      </c>
      <c r="I11" s="173">
        <v>3.03</v>
      </c>
      <c r="J11" s="188"/>
      <c r="K11" s="203">
        <f>AVERAGEA(D11:D15)</f>
        <v>708.97426301555095</v>
      </c>
      <c r="L11" s="203">
        <f t="shared" ref="L11:P11" si="47">AVERAGEA(E11:E15)</f>
        <v>603.80601585533589</v>
      </c>
      <c r="M11" s="203">
        <f t="shared" si="47"/>
        <v>495.5</v>
      </c>
      <c r="N11" s="203">
        <f t="shared" si="47"/>
        <v>770</v>
      </c>
      <c r="O11" s="203">
        <f t="shared" si="47"/>
        <v>629</v>
      </c>
      <c r="P11" s="203">
        <f t="shared" si="47"/>
        <v>2.8600000000000003</v>
      </c>
      <c r="Q11" s="172">
        <f t="shared" ref="Q11:Q16" si="48">(F11-F12)/F12</f>
        <v>-6.5000000000000002E-2</v>
      </c>
      <c r="R11" s="172">
        <f t="shared" ref="R11:R14" si="49">(G11-G12)/G12</f>
        <v>4.9180327868852458E-2</v>
      </c>
      <c r="S11" s="172">
        <f t="shared" ref="S11:S16" si="50">(H11-H12)/H12</f>
        <v>-6.4377682403433473E-2</v>
      </c>
      <c r="T11" s="172">
        <f t="shared" ref="T11:T16" si="51">(I11-I12)/I12</f>
        <v>3.3112582781456247E-3</v>
      </c>
      <c r="U11" s="172"/>
      <c r="V11" s="172">
        <f t="shared" ref="V11:V19" si="52">(D10-D11)/D11</f>
        <v>-6.0131864391107515E-2</v>
      </c>
      <c r="W11" s="172">
        <f t="shared" ref="W11:W16" si="53">(E10-E11)/E11</f>
        <v>-3.9393434154440382E-2</v>
      </c>
      <c r="X11" s="172">
        <f>(F11-F15)/F15</f>
        <v>-8.3333333333333329E-2</v>
      </c>
      <c r="Y11" s="172">
        <f>(G11-G15)/G15</f>
        <v>4.9180327868852458E-2</v>
      </c>
      <c r="Z11" s="172">
        <f t="shared" ref="Z11:Z16" si="54">(H11-H15)/H15</f>
        <v>-0.24041811846689895</v>
      </c>
      <c r="AA11" s="172">
        <f t="shared" ref="AA11:AA16" si="55">(I11-I15)/I15</f>
        <v>0.16091954022988503</v>
      </c>
      <c r="AB11" s="172"/>
      <c r="AC11" s="172">
        <f t="shared" ref="AC11:AC42" si="56">(D11-D15)/D15</f>
        <v>-6.6582792282670111E-2</v>
      </c>
      <c r="AD11" s="172">
        <f t="shared" ref="AD11:AD16" si="57">(E11-E15)/E15</f>
        <v>-3.5311219840510964E-2</v>
      </c>
      <c r="AE11" s="172">
        <f>(F11-F63)/F63</f>
        <v>1.2261904761904763</v>
      </c>
      <c r="AF11" s="172">
        <f t="shared" ref="AF11:AF16" si="58">(G11-G63)/G63</f>
        <v>1.6446280991735538</v>
      </c>
      <c r="AG11" s="172">
        <f t="shared" ref="AG11:AG16" si="59">(H11-H63)/H63</f>
        <v>0.53521126760563376</v>
      </c>
      <c r="AH11" s="172">
        <f t="shared" ref="AH11:AH16" si="60">(I11-I63)/I63</f>
        <v>-0.10691916586839588</v>
      </c>
      <c r="AI11" s="172">
        <f t="shared" ref="AI11:AI16" si="61">(J11-J63)/J63</f>
        <v>-1</v>
      </c>
      <c r="AJ11" s="172">
        <f t="shared" ref="AJ11:AJ42" si="62">(D11-D63)/D63</f>
        <v>1.0817285267389962</v>
      </c>
      <c r="AK11" s="172">
        <f t="shared" ref="AK11:AK16" si="63">(E11-E63)/E63</f>
        <v>0.8289286509000422</v>
      </c>
      <c r="AM11" s="197"/>
      <c r="AN11" s="197"/>
      <c r="AO11" s="197"/>
      <c r="AP11" s="197"/>
      <c r="AQ11" s="197"/>
      <c r="AR11" s="197"/>
      <c r="AS11" s="197"/>
      <c r="AT11" s="197"/>
      <c r="AU11" s="197"/>
      <c r="AV11" s="197"/>
      <c r="AW11" s="197"/>
    </row>
    <row r="12" spans="1:49" s="2" customFormat="1" x14ac:dyDescent="0.3">
      <c r="A12" s="186">
        <v>46164</v>
      </c>
      <c r="B12" s="159">
        <f t="shared" si="43"/>
        <v>2026</v>
      </c>
      <c r="C12" s="159">
        <f t="shared" si="44"/>
        <v>5</v>
      </c>
      <c r="D12" s="189">
        <f t="shared" si="24"/>
        <v>704.81186259203218</v>
      </c>
      <c r="E12" s="189">
        <f t="shared" si="5"/>
        <v>590.62192429174218</v>
      </c>
      <c r="F12" s="188">
        <v>500</v>
      </c>
      <c r="G12" s="188">
        <v>762.5</v>
      </c>
      <c r="H12" s="188">
        <v>582.5</v>
      </c>
      <c r="I12" s="173">
        <v>3.02</v>
      </c>
      <c r="J12" s="188"/>
      <c r="K12" s="204"/>
      <c r="L12" s="204"/>
      <c r="M12" s="204"/>
      <c r="N12" s="204"/>
      <c r="O12" s="204"/>
      <c r="P12" s="204"/>
      <c r="Q12" s="172">
        <f t="shared" si="48"/>
        <v>0</v>
      </c>
      <c r="R12" s="172">
        <f t="shared" si="49"/>
        <v>0</v>
      </c>
      <c r="S12" s="172">
        <f t="shared" si="50"/>
        <v>-5.6680161943319839E-2</v>
      </c>
      <c r="T12" s="172">
        <f t="shared" si="51"/>
        <v>5.9649122807017514E-2</v>
      </c>
      <c r="U12" s="172"/>
      <c r="V12" s="172">
        <f t="shared" si="52"/>
        <v>-4.0081747912081432E-2</v>
      </c>
      <c r="W12" s="172">
        <f>(E11-E12)/E12</f>
        <v>-5.9866171698056882E-3</v>
      </c>
      <c r="X12" s="172">
        <f t="shared" ref="X12:X19" si="64">(F12-F16)/F16</f>
        <v>-6.9767441860465115E-2</v>
      </c>
      <c r="Y12" s="172">
        <f t="shared" ref="Y12:Y13" si="65">(G12-G16)/G16</f>
        <v>8.9285714285714288E-2</v>
      </c>
      <c r="Z12" s="172">
        <f t="shared" si="54"/>
        <v>-0.18815331010452963</v>
      </c>
      <c r="AA12" s="172">
        <f t="shared" si="55"/>
        <v>0.12686567164179099</v>
      </c>
      <c r="AB12" s="172"/>
      <c r="AC12" s="172">
        <f t="shared" si="56"/>
        <v>6.9967504773486957E-3</v>
      </c>
      <c r="AD12" s="172">
        <f t="shared" si="57"/>
        <v>2.2288401134578001E-2</v>
      </c>
      <c r="AE12" s="172">
        <f t="shared" ref="AE12:AE16" si="66">(F12-F64)/F64</f>
        <v>1.2988505747126438</v>
      </c>
      <c r="AF12" s="172">
        <f t="shared" si="58"/>
        <v>1.5206611570247934</v>
      </c>
      <c r="AG12" s="172">
        <f t="shared" si="59"/>
        <v>0.64084507042253525</v>
      </c>
      <c r="AH12" s="172">
        <f t="shared" si="60"/>
        <v>-8.4571082146104981E-2</v>
      </c>
      <c r="AI12" s="172">
        <f t="shared" si="61"/>
        <v>-1</v>
      </c>
      <c r="AJ12" s="172">
        <f t="shared" si="62"/>
        <v>1.1686518848985605</v>
      </c>
      <c r="AK12" s="172">
        <f t="shared" si="63"/>
        <v>0.8399436893823744</v>
      </c>
      <c r="AM12" s="197"/>
      <c r="AN12" s="197"/>
      <c r="AO12" s="197"/>
      <c r="AP12" s="197"/>
      <c r="AQ12" s="197"/>
      <c r="AR12" s="197"/>
      <c r="AS12" s="197"/>
      <c r="AT12" s="197"/>
      <c r="AU12" s="197"/>
      <c r="AV12" s="197"/>
      <c r="AW12" s="197"/>
    </row>
    <row r="13" spans="1:49" s="2" customFormat="1" x14ac:dyDescent="0.3">
      <c r="A13" s="186">
        <v>46157</v>
      </c>
      <c r="B13" s="159">
        <f t="shared" si="43"/>
        <v>2026</v>
      </c>
      <c r="C13" s="159">
        <f t="shared" si="44"/>
        <v>5</v>
      </c>
      <c r="D13" s="189">
        <f t="shared" si="24"/>
        <v>723.45732473872306</v>
      </c>
      <c r="E13" s="189">
        <f t="shared" si="5"/>
        <v>613.19689015226618</v>
      </c>
      <c r="F13" s="188">
        <v>500</v>
      </c>
      <c r="G13" s="188">
        <v>762.5</v>
      </c>
      <c r="H13" s="188">
        <v>617.5</v>
      </c>
      <c r="I13" s="173">
        <v>2.85</v>
      </c>
      <c r="J13" s="188"/>
      <c r="K13" s="204"/>
      <c r="L13" s="204"/>
      <c r="M13" s="204"/>
      <c r="N13" s="204"/>
      <c r="O13" s="204"/>
      <c r="P13" s="204"/>
      <c r="Q13" s="172">
        <f t="shared" si="48"/>
        <v>0</v>
      </c>
      <c r="R13" s="172">
        <f t="shared" si="49"/>
        <v>0</v>
      </c>
      <c r="S13" s="172">
        <f t="shared" si="50"/>
        <v>-9.5238095238095233E-2</v>
      </c>
      <c r="T13" s="172">
        <f t="shared" si="51"/>
        <v>2.1505376344086041E-2</v>
      </c>
      <c r="U13" s="172"/>
      <c r="V13" s="172">
        <f t="shared" si="52"/>
        <v>-2.5772718734204111E-2</v>
      </c>
      <c r="W13" s="172">
        <f t="shared" si="53"/>
        <v>-3.6815199527379036E-2</v>
      </c>
      <c r="X13" s="172">
        <f t="shared" si="64"/>
        <v>0</v>
      </c>
      <c r="Y13" s="172">
        <f t="shared" si="65"/>
        <v>8.9285714285714288E-2</v>
      </c>
      <c r="Z13" s="172">
        <f t="shared" si="54"/>
        <v>-0.13937282229965156</v>
      </c>
      <c r="AA13" s="172">
        <f t="shared" si="55"/>
        <v>8.3650190114068518E-2</v>
      </c>
      <c r="AB13" s="172"/>
      <c r="AC13" s="172">
        <f t="shared" si="56"/>
        <v>7.8291063664688632E-2</v>
      </c>
      <c r="AD13" s="172">
        <f t="shared" si="57"/>
        <v>0.10179967873551847</v>
      </c>
      <c r="AE13" s="172">
        <f t="shared" si="66"/>
        <v>1.3255813953488371</v>
      </c>
      <c r="AF13" s="172">
        <f t="shared" si="58"/>
        <v>1.5206611570247934</v>
      </c>
      <c r="AG13" s="172">
        <f t="shared" si="59"/>
        <v>0.76428571428571423</v>
      </c>
      <c r="AH13" s="172">
        <f t="shared" si="60"/>
        <v>-0.18482924317830773</v>
      </c>
      <c r="AI13" s="172">
        <f t="shared" si="61"/>
        <v>-1</v>
      </c>
      <c r="AJ13" s="172">
        <f t="shared" si="62"/>
        <v>1.2260225376576095</v>
      </c>
      <c r="AK13" s="172">
        <f t="shared" si="63"/>
        <v>0.91027068583260495</v>
      </c>
      <c r="AM13" s="197"/>
      <c r="AN13" s="197"/>
      <c r="AO13" s="197"/>
      <c r="AP13" s="197"/>
      <c r="AQ13" s="197"/>
      <c r="AR13" s="197"/>
      <c r="AS13" s="197"/>
      <c r="AT13" s="197"/>
      <c r="AU13" s="197"/>
      <c r="AV13" s="197"/>
      <c r="AW13" s="197"/>
    </row>
    <row r="14" spans="1:49" s="2" customFormat="1" x14ac:dyDescent="0.3">
      <c r="A14" s="186">
        <v>46150</v>
      </c>
      <c r="B14" s="159">
        <f t="shared" si="43"/>
        <v>2026</v>
      </c>
      <c r="C14" s="159">
        <f t="shared" si="44"/>
        <v>5</v>
      </c>
      <c r="D14" s="189">
        <f t="shared" si="24"/>
        <v>715.21788103732672</v>
      </c>
      <c r="E14" s="189">
        <f t="shared" si="5"/>
        <v>619.54952255262185</v>
      </c>
      <c r="F14" s="188">
        <v>500</v>
      </c>
      <c r="G14" s="188">
        <v>762.5</v>
      </c>
      <c r="H14" s="188">
        <v>682.5</v>
      </c>
      <c r="I14" s="173">
        <v>2.79</v>
      </c>
      <c r="J14" s="188"/>
      <c r="K14" s="204"/>
      <c r="L14" s="204"/>
      <c r="M14" s="204"/>
      <c r="N14" s="204"/>
      <c r="O14" s="204"/>
      <c r="P14" s="204"/>
      <c r="Q14" s="172">
        <f t="shared" si="48"/>
        <v>-1.9607843137254902E-2</v>
      </c>
      <c r="R14" s="172">
        <f t="shared" si="49"/>
        <v>0</v>
      </c>
      <c r="S14" s="172">
        <f t="shared" si="50"/>
        <v>-4.878048780487805E-2</v>
      </c>
      <c r="T14" s="172">
        <f>(I14-I15)/I15</f>
        <v>6.8965517241379379E-2</v>
      </c>
      <c r="U14" s="172"/>
      <c r="V14" s="172">
        <f t="shared" si="52"/>
        <v>1.1520186952605467E-2</v>
      </c>
      <c r="W14" s="172">
        <f t="shared" si="53"/>
        <v>-1.0253631338754052E-2</v>
      </c>
      <c r="X14" s="172">
        <f t="shared" si="64"/>
        <v>0.13636363636363635</v>
      </c>
      <c r="Y14" s="172">
        <f>(G14-G18)/G18</f>
        <v>0.13805970149253732</v>
      </c>
      <c r="Z14" s="172">
        <f t="shared" si="54"/>
        <v>-5.536332179930796E-2</v>
      </c>
      <c r="AA14" s="172">
        <f t="shared" si="55"/>
        <v>1.6541572542446942E-2</v>
      </c>
      <c r="AB14" s="172"/>
      <c r="AC14" s="172">
        <f t="shared" si="56"/>
        <v>0.15291825826846156</v>
      </c>
      <c r="AD14" s="172">
        <f t="shared" si="57"/>
        <v>8.5547436913973443E-2</v>
      </c>
      <c r="AE14" s="172">
        <f t="shared" si="66"/>
        <v>1.3255813953488371</v>
      </c>
      <c r="AF14" s="172">
        <f t="shared" si="58"/>
        <v>1.5206611570247934</v>
      </c>
      <c r="AG14" s="172">
        <f t="shared" si="59"/>
        <v>0.96402877697841727</v>
      </c>
      <c r="AH14" s="172">
        <f t="shared" si="60"/>
        <v>-0.22590311303479274</v>
      </c>
      <c r="AI14" s="172">
        <f t="shared" si="61"/>
        <v>-1</v>
      </c>
      <c r="AJ14" s="172">
        <f t="shared" si="62"/>
        <v>1.2006704031917745</v>
      </c>
      <c r="AK14" s="172">
        <f t="shared" si="63"/>
        <v>0.93006081792094031</v>
      </c>
      <c r="AM14" s="197"/>
      <c r="AN14" s="197"/>
      <c r="AO14" s="197"/>
      <c r="AP14" s="197"/>
      <c r="AQ14" s="197"/>
      <c r="AR14" s="197"/>
      <c r="AS14" s="197"/>
      <c r="AT14" s="197"/>
      <c r="AU14" s="197"/>
      <c r="AV14" s="197"/>
      <c r="AW14" s="197"/>
    </row>
    <row r="15" spans="1:49" s="2" customFormat="1" x14ac:dyDescent="0.3">
      <c r="A15" s="186">
        <v>46143</v>
      </c>
      <c r="B15" s="159">
        <f t="shared" si="43"/>
        <v>2026</v>
      </c>
      <c r="C15" s="159">
        <f t="shared" si="44"/>
        <v>5</v>
      </c>
      <c r="D15" s="189">
        <f t="shared" si="24"/>
        <v>724.82247551949933</v>
      </c>
      <c r="E15" s="189">
        <f t="shared" si="5"/>
        <v>608.57564534113521</v>
      </c>
      <c r="F15" s="188">
        <v>510</v>
      </c>
      <c r="G15" s="188">
        <v>762.5</v>
      </c>
      <c r="H15" s="188">
        <v>717.5</v>
      </c>
      <c r="I15" s="173">
        <v>2.61</v>
      </c>
      <c r="J15" s="188"/>
      <c r="K15" s="205"/>
      <c r="L15" s="205"/>
      <c r="M15" s="205"/>
      <c r="N15" s="205"/>
      <c r="O15" s="205"/>
      <c r="P15" s="205"/>
      <c r="Q15" s="172">
        <f>(F15-F16)/F16</f>
        <v>-5.1162790697674418E-2</v>
      </c>
      <c r="R15" s="172">
        <f>(G15-G16)/G16</f>
        <v>8.9285714285714288E-2</v>
      </c>
      <c r="S15" s="172">
        <f t="shared" si="50"/>
        <v>0</v>
      </c>
      <c r="T15" s="172">
        <f t="shared" si="51"/>
        <v>-2.611940298507473E-2</v>
      </c>
      <c r="U15" s="172"/>
      <c r="V15" s="172">
        <f t="shared" si="52"/>
        <v>-1.3250961175408848E-2</v>
      </c>
      <c r="W15" s="172">
        <f t="shared" si="53"/>
        <v>1.8032067657481207E-2</v>
      </c>
      <c r="X15" s="172">
        <f t="shared" si="64"/>
        <v>0.2289156626506024</v>
      </c>
      <c r="Y15" s="172">
        <f>(G15-G19)/G19</f>
        <v>0.15094339622641509</v>
      </c>
      <c r="Z15" s="172">
        <f t="shared" si="54"/>
        <v>-3.472222222222222E-3</v>
      </c>
      <c r="AA15" s="172">
        <f t="shared" si="55"/>
        <v>-8.3406496927129148E-2</v>
      </c>
      <c r="AB15" s="172"/>
      <c r="AC15" s="172">
        <f t="shared" si="56"/>
        <v>0.23994169239850852</v>
      </c>
      <c r="AD15" s="172">
        <f t="shared" si="57"/>
        <v>0.20833245205749926</v>
      </c>
      <c r="AE15" s="172">
        <f t="shared" si="66"/>
        <v>1.3720930232558139</v>
      </c>
      <c r="AF15" s="172">
        <f t="shared" si="58"/>
        <v>1.5206611570247934</v>
      </c>
      <c r="AG15" s="172">
        <f t="shared" si="59"/>
        <v>1.064748201438849</v>
      </c>
      <c r="AH15" s="172">
        <f t="shared" si="60"/>
        <v>-0.23194632452474845</v>
      </c>
      <c r="AI15" s="172">
        <f t="shared" si="61"/>
        <v>-1</v>
      </c>
      <c r="AJ15" s="172">
        <f t="shared" si="62"/>
        <v>1.2302230015984594</v>
      </c>
      <c r="AK15" s="172">
        <f t="shared" si="63"/>
        <v>0.89587428455182305</v>
      </c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</row>
    <row r="16" spans="1:49" s="2" customFormat="1" x14ac:dyDescent="0.3">
      <c r="A16" s="169">
        <f t="shared" ref="A16:A19" si="67">A17+7</f>
        <v>46136</v>
      </c>
      <c r="B16" s="159">
        <f t="shared" si="43"/>
        <v>2026</v>
      </c>
      <c r="C16" s="159">
        <f t="shared" si="44"/>
        <v>4</v>
      </c>
      <c r="D16" s="189">
        <f t="shared" si="24"/>
        <v>699.91473384390645</v>
      </c>
      <c r="E16" s="189">
        <f t="shared" si="5"/>
        <v>577.74491389733612</v>
      </c>
      <c r="F16" s="196">
        <v>537.5</v>
      </c>
      <c r="G16" s="188">
        <v>700</v>
      </c>
      <c r="H16" s="188">
        <v>717.5</v>
      </c>
      <c r="I16" s="173">
        <v>2.68</v>
      </c>
      <c r="J16" s="188"/>
      <c r="K16" s="203">
        <f>AVERAGE(D16:D19)</f>
        <v>643.94009610117746</v>
      </c>
      <c r="L16" s="203">
        <f t="shared" ref="L16:P16" si="68">AVERAGE(E16:E19)</f>
        <v>552.16517338055814</v>
      </c>
      <c r="M16" s="203">
        <f t="shared" si="68"/>
        <v>473.125</v>
      </c>
      <c r="N16" s="203">
        <f t="shared" si="68"/>
        <v>683.125</v>
      </c>
      <c r="O16" s="203">
        <f t="shared" si="68"/>
        <v>719.375</v>
      </c>
      <c r="P16" s="203">
        <f t="shared" si="68"/>
        <v>2.7255250000000002</v>
      </c>
      <c r="Q16" s="172">
        <f t="shared" si="48"/>
        <v>7.4999999999999997E-2</v>
      </c>
      <c r="R16" s="172">
        <f>(G16-G17)/G17</f>
        <v>0</v>
      </c>
      <c r="S16" s="172">
        <f t="shared" si="50"/>
        <v>0</v>
      </c>
      <c r="T16" s="172">
        <f t="shared" si="51"/>
        <v>1.9011406844106567E-2</v>
      </c>
      <c r="U16" s="172"/>
      <c r="V16" s="172">
        <f t="shared" si="52"/>
        <v>3.5586822895984013E-2</v>
      </c>
      <c r="W16" s="172">
        <f t="shared" si="53"/>
        <v>5.3363916673574804E-2</v>
      </c>
      <c r="X16" s="172">
        <f t="shared" si="64"/>
        <v>0.29518072289156627</v>
      </c>
      <c r="Y16" s="172">
        <f>(G16-G20)/G20</f>
        <v>0.12</v>
      </c>
      <c r="Z16" s="172">
        <f t="shared" si="54"/>
        <v>0.13438735177865613</v>
      </c>
      <c r="AA16" s="172">
        <f t="shared" si="55"/>
        <v>-9.9462365591397789E-2</v>
      </c>
      <c r="AB16" s="172"/>
      <c r="AC16" s="172">
        <f t="shared" si="56"/>
        <v>0.2454550641861144</v>
      </c>
      <c r="AD16" s="172">
        <f t="shared" si="57"/>
        <v>0.13063602720306028</v>
      </c>
      <c r="AE16" s="172">
        <f t="shared" si="66"/>
        <v>1.4431818181818181</v>
      </c>
      <c r="AF16" s="172">
        <f t="shared" si="58"/>
        <v>1.3140495867768596</v>
      </c>
      <c r="AG16" s="172">
        <f t="shared" si="59"/>
        <v>1.0797101449275361</v>
      </c>
      <c r="AH16" s="172">
        <f t="shared" si="60"/>
        <v>-0.10139484978540758</v>
      </c>
      <c r="AI16" s="172">
        <f t="shared" si="61"/>
        <v>-1</v>
      </c>
      <c r="AJ16" s="172">
        <f t="shared" si="62"/>
        <v>1.2219515360124014</v>
      </c>
      <c r="AK16" s="172">
        <f t="shared" si="63"/>
        <v>0.89424561933552826</v>
      </c>
      <c r="AM16" s="197"/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</row>
    <row r="17" spans="1:56" s="2" customFormat="1" x14ac:dyDescent="0.3">
      <c r="A17" s="169">
        <f t="shared" si="67"/>
        <v>46129</v>
      </c>
      <c r="B17" s="159">
        <f t="shared" si="43"/>
        <v>2026</v>
      </c>
      <c r="C17" s="159">
        <f t="shared" si="44"/>
        <v>4</v>
      </c>
      <c r="D17" s="189">
        <f t="shared" si="24"/>
        <v>670.92953759625459</v>
      </c>
      <c r="E17" s="189">
        <f t="shared" si="5"/>
        <v>556.54117711851416</v>
      </c>
      <c r="F17" s="188">
        <v>500</v>
      </c>
      <c r="G17" s="188">
        <v>700</v>
      </c>
      <c r="H17" s="188">
        <v>717.5</v>
      </c>
      <c r="I17" s="173">
        <v>2.63</v>
      </c>
      <c r="J17" s="188"/>
      <c r="K17" s="204"/>
      <c r="L17" s="204"/>
      <c r="M17" s="204"/>
      <c r="N17" s="204"/>
      <c r="O17" s="204"/>
      <c r="P17" s="204"/>
      <c r="Q17" s="172">
        <f>(F17-F18)/F18</f>
        <v>0.13636363636363635</v>
      </c>
      <c r="R17" s="172">
        <f>(G17-G18)/G18</f>
        <v>4.4776119402985072E-2</v>
      </c>
      <c r="S17" s="172">
        <f t="shared" ref="S17:U19" si="69">(H17-H18)/H18</f>
        <v>-6.920415224913495E-3</v>
      </c>
      <c r="T17" s="172">
        <f t="shared" si="69"/>
        <v>-4.175471835604469E-2</v>
      </c>
      <c r="U17" s="172">
        <f t="shared" si="69"/>
        <v>-1</v>
      </c>
      <c r="V17" s="172">
        <f t="shared" si="52"/>
        <v>4.32015504213712E-2</v>
      </c>
      <c r="W17" s="172">
        <f t="shared" ref="W17:W19" si="70">(E16-E17)/E17</f>
        <v>3.809913381181259E-2</v>
      </c>
      <c r="X17" s="172">
        <f t="shared" si="64"/>
        <v>0.20481927710843373</v>
      </c>
      <c r="Y17" s="172">
        <f t="shared" ref="Y17" si="71">(G17-G21)/G21</f>
        <v>0.21739130434782608</v>
      </c>
      <c r="Z17" s="172">
        <f t="shared" ref="Z17" si="72">(H17-H21)/H21</f>
        <v>0.10810810810810811</v>
      </c>
      <c r="AA17" s="172">
        <f t="shared" ref="AA17" si="73">(I17-I21)/I21</f>
        <v>-0.14510466779352493</v>
      </c>
      <c r="AB17" s="172"/>
      <c r="AC17" s="172">
        <f t="shared" si="56"/>
        <v>0.35541320726516079</v>
      </c>
      <c r="AD17" s="172">
        <f t="shared" ref="AD17:AD33" si="74">(E17-E21)/E21</f>
        <v>0.19686274649142829</v>
      </c>
      <c r="AE17" s="172">
        <f>(F17-F69)/F69</f>
        <v>1.1978021978021978</v>
      </c>
      <c r="AF17" s="172">
        <f t="shared" ref="AF17" si="75">(G17-G69)/G69</f>
        <v>1.3140495867768596</v>
      </c>
      <c r="AG17" s="172">
        <f t="shared" ref="AG17" si="76">(H17-H69)/H69</f>
        <v>1.0797101449275361</v>
      </c>
      <c r="AH17" s="172">
        <f t="shared" ref="AH17" si="77">(I17-I69)/I69</f>
        <v>-0.19975657994827331</v>
      </c>
      <c r="AI17" s="172">
        <f t="shared" ref="AI17" si="78">(J17-J69)/J69</f>
        <v>-1</v>
      </c>
      <c r="AJ17" s="172">
        <f t="shared" si="62"/>
        <v>1.1299350399881098</v>
      </c>
      <c r="AK17" s="172">
        <f t="shared" ref="AK17:AK33" si="79">(E17-E69)/E69</f>
        <v>0.82472517088037434</v>
      </c>
      <c r="AM17" s="197"/>
      <c r="AN17" s="197"/>
      <c r="AO17" s="197"/>
      <c r="AP17" s="197"/>
      <c r="AQ17" s="197"/>
      <c r="AR17" s="197"/>
      <c r="AS17" s="197"/>
      <c r="AT17" s="197"/>
      <c r="AU17" s="197"/>
      <c r="AV17" s="197"/>
      <c r="AW17" s="197"/>
    </row>
    <row r="18" spans="1:56" x14ac:dyDescent="0.3">
      <c r="A18" s="169">
        <f t="shared" si="67"/>
        <v>46122</v>
      </c>
      <c r="B18" s="159">
        <f t="shared" si="43"/>
        <v>2026</v>
      </c>
      <c r="C18" s="159">
        <f t="shared" si="44"/>
        <v>4</v>
      </c>
      <c r="D18" s="189">
        <f t="shared" si="24"/>
        <v>620.35437109955581</v>
      </c>
      <c r="E18" s="189">
        <f t="shared" si="5"/>
        <v>570.72542524156813</v>
      </c>
      <c r="F18" s="189">
        <v>440</v>
      </c>
      <c r="G18" s="189">
        <v>670</v>
      </c>
      <c r="H18" s="189">
        <v>722.5</v>
      </c>
      <c r="I18" s="174">
        <v>2.7446000000000002</v>
      </c>
      <c r="J18" s="189">
        <v>103.44</v>
      </c>
      <c r="K18" s="204"/>
      <c r="L18" s="204"/>
      <c r="M18" s="204"/>
      <c r="N18" s="204"/>
      <c r="O18" s="204"/>
      <c r="P18" s="204"/>
      <c r="Q18" s="172">
        <f>(F18-F19)/F19</f>
        <v>6.0240963855421686E-2</v>
      </c>
      <c r="R18" s="172">
        <f>(G18-G19)/G19</f>
        <v>1.1320754716981131E-2</v>
      </c>
      <c r="S18" s="172">
        <f t="shared" si="69"/>
        <v>3.472222222222222E-3</v>
      </c>
      <c r="T18" s="172">
        <f t="shared" si="69"/>
        <v>-3.6136962247585599E-2</v>
      </c>
      <c r="U18" s="172">
        <f t="shared" si="69"/>
        <v>-6.1938877301169842E-2</v>
      </c>
      <c r="V18" s="172">
        <f t="shared" si="52"/>
        <v>8.1526251531130703E-2</v>
      </c>
      <c r="W18" s="172">
        <f t="shared" si="70"/>
        <v>-2.485301599635285E-2</v>
      </c>
      <c r="X18" s="172">
        <f t="shared" si="64"/>
        <v>0.17333333333333334</v>
      </c>
      <c r="Y18" s="172">
        <f t="shared" ref="Y18" si="80">(G18-G22)/G22</f>
        <v>0.21818181818181817</v>
      </c>
      <c r="Z18" s="172">
        <f t="shared" ref="Z18" si="81">(H18-H22)/H22</f>
        <v>0.20920502092050208</v>
      </c>
      <c r="AA18" s="172">
        <f t="shared" ref="AA18" si="82">(I18-I22)/I22</f>
        <v>-0.12664672564118887</v>
      </c>
      <c r="AB18" s="172">
        <f t="shared" ref="AB18" si="83">(J18-J22)/J22</f>
        <v>2.3255813953487877E-3</v>
      </c>
      <c r="AC18" s="172">
        <f t="shared" si="56"/>
        <v>0.25324115373647638</v>
      </c>
      <c r="AD18" s="172">
        <f t="shared" si="74"/>
        <v>0.22736650589584545</v>
      </c>
      <c r="AE18" s="172">
        <f>(F18-F70)/F70</f>
        <v>0.93406593406593408</v>
      </c>
      <c r="AF18" s="172">
        <f t="shared" ref="AF18" si="84">(G18-G70)/G70</f>
        <v>1.2148760330578512</v>
      </c>
      <c r="AG18" s="172">
        <f t="shared" ref="AG18" si="85">(H18-H70)/H70</f>
        <v>1.0942028985507246</v>
      </c>
      <c r="AH18" s="172">
        <f t="shared" ref="AH18" si="86">(I18-I70)/I70</f>
        <v>-0.23845726970033293</v>
      </c>
      <c r="AI18" s="172">
        <f t="shared" ref="AI18" si="87">(J18-J70)/J70</f>
        <v>0.54555827220863873</v>
      </c>
      <c r="AJ18" s="172">
        <f t="shared" si="62"/>
        <v>0.96937895587160572</v>
      </c>
      <c r="AK18" s="172">
        <f t="shared" si="79"/>
        <v>0.87123090243137091</v>
      </c>
      <c r="AM18" s="197"/>
      <c r="AN18" s="197"/>
      <c r="AO18" s="197"/>
      <c r="AP18" s="197"/>
      <c r="AQ18" s="197"/>
      <c r="AR18" s="197"/>
      <c r="AS18" s="197"/>
      <c r="AT18" s="197"/>
      <c r="AU18" s="197"/>
      <c r="AV18" s="197"/>
      <c r="AW18" s="197"/>
    </row>
    <row r="19" spans="1:56" x14ac:dyDescent="0.3">
      <c r="A19" s="169">
        <f t="shared" si="67"/>
        <v>46115</v>
      </c>
      <c r="B19" s="159">
        <f t="shared" si="43"/>
        <v>2026</v>
      </c>
      <c r="C19" s="159">
        <f t="shared" si="44"/>
        <v>4</v>
      </c>
      <c r="D19" s="189">
        <f t="shared" si="24"/>
        <v>584.56174186499288</v>
      </c>
      <c r="E19" s="189">
        <f t="shared" si="5"/>
        <v>503.64917726481434</v>
      </c>
      <c r="F19" s="189">
        <v>415</v>
      </c>
      <c r="G19" s="189">
        <v>662.5</v>
      </c>
      <c r="H19" s="189">
        <v>720</v>
      </c>
      <c r="I19" s="174">
        <v>2.8475000000000001</v>
      </c>
      <c r="J19" s="189">
        <v>110.27</v>
      </c>
      <c r="K19" s="205"/>
      <c r="L19" s="205"/>
      <c r="M19" s="205"/>
      <c r="N19" s="205"/>
      <c r="O19" s="205"/>
      <c r="P19" s="205"/>
      <c r="Q19" s="172">
        <f>(F19-F20)/F20</f>
        <v>0</v>
      </c>
      <c r="R19" s="172">
        <f>(G19-G20)/G20</f>
        <v>0.06</v>
      </c>
      <c r="S19" s="172">
        <f t="shared" si="69"/>
        <v>0.13833992094861661</v>
      </c>
      <c r="T19" s="172">
        <f t="shared" si="69"/>
        <v>-4.3178763440860163E-2</v>
      </c>
      <c r="U19" s="172">
        <f t="shared" si="69"/>
        <v>-8.9871483778197186E-3</v>
      </c>
      <c r="V19" s="172">
        <f t="shared" si="52"/>
        <v>6.1229852505177103E-2</v>
      </c>
      <c r="W19" s="172">
        <f t="shared" si="70"/>
        <v>0.13318049746656427</v>
      </c>
      <c r="X19" s="172">
        <f t="shared" si="64"/>
        <v>0.10666666666666667</v>
      </c>
      <c r="Y19" s="172">
        <f>(G19-G23)/G23</f>
        <v>0.14224137931034483</v>
      </c>
      <c r="Z19" s="172">
        <f>(H19-H23)/H23</f>
        <v>0.33953488372093021</v>
      </c>
      <c r="AA19" s="172">
        <f>(I19-I23)/I23</f>
        <v>-5.8366402116402073E-2</v>
      </c>
      <c r="AB19" s="172">
        <f>(J19-J23)/J23</f>
        <v>0.18927955133735977</v>
      </c>
      <c r="AC19" s="172">
        <f t="shared" si="56"/>
        <v>0.18093281184847046</v>
      </c>
      <c r="AD19" s="172">
        <f t="shared" si="74"/>
        <v>8.3116510246912564E-2</v>
      </c>
      <c r="AE19" s="172">
        <f>(F19-F71)/F71</f>
        <v>0.8651685393258427</v>
      </c>
      <c r="AF19" s="172">
        <f>(G19-G71)/G71</f>
        <v>1.1900826446280992</v>
      </c>
      <c r="AG19" s="172">
        <f>(H19-H71)/H71</f>
        <v>1.1818181818181819</v>
      </c>
      <c r="AH19" s="172">
        <f>(I19-I71)/I71</f>
        <v>-0.29166666666666669</v>
      </c>
      <c r="AI19" s="172">
        <f>(J19-J71)/J71</f>
        <v>0.64760934528660663</v>
      </c>
      <c r="AJ19" s="172">
        <f t="shared" si="62"/>
        <v>0.85575156147616793</v>
      </c>
      <c r="AK19" s="172">
        <f t="shared" si="79"/>
        <v>0.65130877791742403</v>
      </c>
      <c r="AM19" s="197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</row>
    <row r="20" spans="1:56" x14ac:dyDescent="0.3">
      <c r="A20" s="169">
        <f>A21+7</f>
        <v>46108</v>
      </c>
      <c r="B20" s="159">
        <f t="shared" si="43"/>
        <v>2026</v>
      </c>
      <c r="C20" s="159">
        <f t="shared" si="44"/>
        <v>3</v>
      </c>
      <c r="D20" s="189">
        <f xml:space="preserve"> 0.280558110643*D21 + 0.15041224611*D22 - 0.188812610795*G21 + 0.259276330013*G22 + 0.249001945549*F21 - 0.0911542671384*F22 - 11.8844751787*I21 + 5.64643067713*I22 + 0.185696475006*H21 + 0.247343345212*H22- 3.75210437468</f>
        <v>561.97509968076599</v>
      </c>
      <c r="E20" s="189">
        <f xml:space="preserve"> 0.080991528041*E21 + 0.303754553817*E22 - 0.25338201366*G21 + 0.269148503584*G22 + 0.00378757678133*F21 + 0.43547234846*F22 - 12.2555082812*I21 + 15.7710625006*I22 + 0.517281394734*H21 - 0.299449478792*H22 - 3.00478655786</f>
        <v>510.99107050970889</v>
      </c>
      <c r="F20" s="189">
        <v>415</v>
      </c>
      <c r="G20" s="189">
        <v>625</v>
      </c>
      <c r="H20" s="189">
        <v>632.5</v>
      </c>
      <c r="I20" s="174">
        <v>2.976</v>
      </c>
      <c r="J20" s="189">
        <v>111.27</v>
      </c>
      <c r="K20" s="203">
        <f>AVERAGE(D20:D23)</f>
        <v>511.74377492019153</v>
      </c>
      <c r="L20" s="203">
        <f t="shared" ref="L20:P20" si="88">AVERAGE(E20:E23)</f>
        <v>476.49776762742721</v>
      </c>
      <c r="M20" s="203">
        <f t="shared" si="88"/>
        <v>395</v>
      </c>
      <c r="N20" s="203">
        <f t="shared" si="88"/>
        <v>582.5</v>
      </c>
      <c r="O20" s="203">
        <f t="shared" si="88"/>
        <v>603.75</v>
      </c>
      <c r="P20" s="203">
        <f t="shared" si="88"/>
        <v>3.0547500000000003</v>
      </c>
      <c r="Q20" s="171">
        <f t="shared" ref="Q20" si="89">(F20-F21)/F21</f>
        <v>0</v>
      </c>
      <c r="R20" s="171">
        <f t="shared" ref="R20" si="90">(G20-G21)/G21</f>
        <v>8.6956521739130432E-2</v>
      </c>
      <c r="S20" s="171">
        <f t="shared" ref="S20" si="91">(H20-H21)/H21</f>
        <v>-2.3166023166023165E-2</v>
      </c>
      <c r="T20" s="171">
        <f t="shared" ref="T20" si="92">(I20-I21)/I21</f>
        <v>-3.2635548043167352E-2</v>
      </c>
      <c r="U20" s="171">
        <f t="shared" ref="U20" si="93">(J20-J21)/J21</f>
        <v>-8.9070989578694214E-3</v>
      </c>
      <c r="V20" s="171">
        <f t="shared" ref="V20:V51" si="94">(D20-D21)/D21</f>
        <v>0.13530323167831515</v>
      </c>
      <c r="W20" s="171">
        <f t="shared" ref="W20" si="95">(E20-E21)/E21</f>
        <v>9.8905527977868585E-2</v>
      </c>
      <c r="X20" s="172">
        <f t="shared" ref="X20:X83" si="96">(F20-F24)/F24</f>
        <v>0.25757575757575757</v>
      </c>
      <c r="Y20" s="172">
        <f t="shared" ref="Y20:Y83" si="97">(G20-G24)/G24</f>
        <v>0.30208333333333331</v>
      </c>
      <c r="Z20" s="172">
        <f t="shared" ref="Z20:Z83" si="98">(H20-H24)/H24</f>
        <v>0.43261608154020387</v>
      </c>
      <c r="AA20" s="172">
        <f t="shared" ref="AA20:AA83" si="99">(I20-I24)/I24</f>
        <v>2.2329096530401906E-2</v>
      </c>
      <c r="AB20" s="172">
        <f t="shared" ref="AB20:AB83" si="100">(J20-J24)/J24</f>
        <v>0.52904316279836738</v>
      </c>
      <c r="AC20" s="172">
        <f t="shared" si="56"/>
        <v>0.54388763648562088</v>
      </c>
      <c r="AD20" s="172">
        <f t="shared" si="74"/>
        <v>0.46836514514284167</v>
      </c>
      <c r="AE20" s="172">
        <f t="shared" ref="AE20:AE83" si="101">(F20-F72)/F72</f>
        <v>0.82417582417582413</v>
      </c>
      <c r="AF20" s="172">
        <f t="shared" ref="AF20:AF83" si="102">(G20-G72)/G72</f>
        <v>1.0661157024793388</v>
      </c>
      <c r="AG20" s="172">
        <f t="shared" ref="AG20:AG83" si="103">(H20-H72)/H72</f>
        <v>1.0403225806451613</v>
      </c>
      <c r="AH20" s="172">
        <f t="shared" ref="AH20:AH83" si="104">(I20-I72)/I72</f>
        <v>-0.24197656647987786</v>
      </c>
      <c r="AI20" s="172">
        <f t="shared" ref="AI20:AI83" si="105">(J20-J72)/J72</f>
        <v>0.55098667834883208</v>
      </c>
      <c r="AJ20" s="172">
        <f t="shared" si="62"/>
        <v>0.80699388964876528</v>
      </c>
      <c r="AK20" s="172">
        <f t="shared" si="79"/>
        <v>0.69764475252394975</v>
      </c>
      <c r="AM20" s="197"/>
      <c r="AN20" s="197"/>
      <c r="AO20" s="197"/>
      <c r="AP20" s="197"/>
      <c r="AQ20" s="197"/>
      <c r="AR20" s="197"/>
      <c r="AS20" s="197"/>
      <c r="AT20" s="197"/>
      <c r="AU20" s="197"/>
      <c r="AV20" s="197"/>
      <c r="AW20" s="197"/>
    </row>
    <row r="21" spans="1:56" x14ac:dyDescent="0.3">
      <c r="A21" s="169">
        <v>46101</v>
      </c>
      <c r="B21" s="159">
        <f>YEAR(A21)</f>
        <v>2026</v>
      </c>
      <c r="C21" s="159">
        <f>MONTH(A21)</f>
        <v>3</v>
      </c>
      <c r="D21" s="190">
        <v>495</v>
      </c>
      <c r="E21" s="190">
        <v>465</v>
      </c>
      <c r="F21" s="189">
        <v>415</v>
      </c>
      <c r="G21" s="189">
        <v>575</v>
      </c>
      <c r="H21" s="189">
        <v>647.5</v>
      </c>
      <c r="I21" s="174">
        <v>3.0764</v>
      </c>
      <c r="J21" s="189">
        <v>112.27</v>
      </c>
      <c r="K21" s="204"/>
      <c r="L21" s="204"/>
      <c r="M21" s="204"/>
      <c r="N21" s="204"/>
      <c r="O21" s="204"/>
      <c r="P21" s="204"/>
      <c r="Q21" s="171">
        <f>(F21-F22)/F22</f>
        <v>0.10666666666666667</v>
      </c>
      <c r="R21" s="171">
        <f>(G21-G22)/G22</f>
        <v>4.5454545454545456E-2</v>
      </c>
      <c r="S21" s="171">
        <f>(H21-H22)/H22</f>
        <v>8.3682008368200833E-2</v>
      </c>
      <c r="T21" s="171">
        <f>(I21-I22)/I22</f>
        <v>-2.1065359893082242E-2</v>
      </c>
      <c r="U21" s="171">
        <f>(J21-J22)/J22</f>
        <v>8.7887596899224735E-2</v>
      </c>
      <c r="V21" s="171">
        <f t="shared" si="94"/>
        <v>0</v>
      </c>
      <c r="W21" s="171">
        <f>(E21-E22)/E22</f>
        <v>0</v>
      </c>
      <c r="X21" s="172">
        <f t="shared" si="96"/>
        <v>0.25757575757575757</v>
      </c>
      <c r="Y21" s="172">
        <f t="shared" si="97"/>
        <v>0.17948717948717949</v>
      </c>
      <c r="Z21" s="172">
        <f t="shared" si="98"/>
        <v>0.51108518086347721</v>
      </c>
      <c r="AA21" s="172">
        <f t="shared" si="99"/>
        <v>3.5229645093944732E-3</v>
      </c>
      <c r="AB21" s="172">
        <f t="shared" si="100"/>
        <v>0.56006391996109206</v>
      </c>
      <c r="AC21" s="172">
        <f t="shared" si="56"/>
        <v>0.35989010989010989</v>
      </c>
      <c r="AD21" s="172">
        <f t="shared" si="74"/>
        <v>0.33620689655172414</v>
      </c>
      <c r="AE21" s="172">
        <f t="shared" si="101"/>
        <v>0.72916666666666663</v>
      </c>
      <c r="AF21" s="172">
        <f t="shared" si="102"/>
        <v>0.90082644628099173</v>
      </c>
      <c r="AG21" s="172">
        <f t="shared" si="103"/>
        <v>0.99230769230769234</v>
      </c>
      <c r="AH21" s="172">
        <f t="shared" si="104"/>
        <v>-0.24121941594317273</v>
      </c>
      <c r="AI21" s="172">
        <f t="shared" si="105"/>
        <v>0.56492562575917482</v>
      </c>
      <c r="AJ21" s="172">
        <f t="shared" si="62"/>
        <v>0.59163987138263663</v>
      </c>
      <c r="AK21" s="172">
        <f t="shared" si="79"/>
        <v>0.54485049833887045</v>
      </c>
      <c r="AM21" s="197"/>
      <c r="AN21" s="197"/>
      <c r="AO21" s="197"/>
      <c r="AP21" s="197"/>
      <c r="AQ21" s="197"/>
      <c r="AR21" s="197"/>
      <c r="AS21" s="197"/>
      <c r="AT21" s="197"/>
      <c r="AU21" s="197"/>
      <c r="AV21" s="197"/>
      <c r="AW21" s="197"/>
    </row>
    <row r="22" spans="1:56" x14ac:dyDescent="0.3">
      <c r="A22" s="169">
        <v>46094</v>
      </c>
      <c r="B22" s="159">
        <f t="shared" ref="B22:B85" si="106">YEAR(A22)</f>
        <v>2026</v>
      </c>
      <c r="C22" s="159">
        <f t="shared" ref="C22:C85" si="107">MONTH(A22)</f>
        <v>3</v>
      </c>
      <c r="D22" s="190">
        <v>495</v>
      </c>
      <c r="E22" s="190">
        <v>465</v>
      </c>
      <c r="F22" s="189">
        <v>375</v>
      </c>
      <c r="G22" s="189">
        <v>550</v>
      </c>
      <c r="H22" s="189">
        <v>597.5</v>
      </c>
      <c r="I22" s="174">
        <v>3.1426000000000003</v>
      </c>
      <c r="J22" s="189">
        <v>103.2</v>
      </c>
      <c r="K22" s="204"/>
      <c r="L22" s="204"/>
      <c r="M22" s="204"/>
      <c r="N22" s="204"/>
      <c r="O22" s="204"/>
      <c r="P22" s="204"/>
      <c r="Q22" s="171">
        <f t="shared" ref="Q22:Q85" si="108">(F22-F23)/F23</f>
        <v>0</v>
      </c>
      <c r="R22" s="171">
        <f t="shared" ref="R22:R85" si="109">(G22-G23)/G23</f>
        <v>-5.1724137931034482E-2</v>
      </c>
      <c r="S22" s="171">
        <f t="shared" ref="S22:S85" si="110">(H22-H23)/H23</f>
        <v>0.11162790697674418</v>
      </c>
      <c r="T22" s="171">
        <f t="shared" ref="T22:T85" si="111">(I22-I23)/I23</f>
        <v>3.9219576719576807E-2</v>
      </c>
      <c r="U22" s="171">
        <f t="shared" ref="U22:U85" si="112">(J22-J23)/J23</f>
        <v>0.1130284728213978</v>
      </c>
      <c r="V22" s="171">
        <f t="shared" si="94"/>
        <v>0</v>
      </c>
      <c r="W22" s="171">
        <f t="shared" ref="W22:W85" si="113">(E22-E23)/E23</f>
        <v>0</v>
      </c>
      <c r="X22" s="172">
        <f t="shared" si="96"/>
        <v>0.13636363636363635</v>
      </c>
      <c r="Y22" s="172">
        <f t="shared" si="97"/>
        <v>0.1111111111111111</v>
      </c>
      <c r="Z22" s="172">
        <f t="shared" si="98"/>
        <v>0.48447204968944102</v>
      </c>
      <c r="AA22" s="172">
        <f t="shared" si="99"/>
        <v>-1.0017641129032135E-2</v>
      </c>
      <c r="AB22" s="172">
        <f t="shared" si="100"/>
        <v>0.5327491459973267</v>
      </c>
      <c r="AC22" s="172">
        <f t="shared" si="56"/>
        <v>0.35989010989010989</v>
      </c>
      <c r="AD22" s="172">
        <f t="shared" si="74"/>
        <v>0.33620689655172414</v>
      </c>
      <c r="AE22" s="172">
        <f t="shared" si="101"/>
        <v>0.5625</v>
      </c>
      <c r="AF22" s="172">
        <f t="shared" si="102"/>
        <v>0.74603174603174605</v>
      </c>
      <c r="AG22" s="172">
        <f t="shared" si="103"/>
        <v>0.55194805194805197</v>
      </c>
      <c r="AH22" s="172">
        <f t="shared" si="104"/>
        <v>-0.26032104693310726</v>
      </c>
      <c r="AI22" s="172">
        <f t="shared" si="105"/>
        <v>0.43849937274736656</v>
      </c>
      <c r="AJ22" s="172">
        <f t="shared" si="62"/>
        <v>0.59163987138263663</v>
      </c>
      <c r="AK22" s="172">
        <f t="shared" si="79"/>
        <v>0.54485049833887045</v>
      </c>
      <c r="AM22" s="197"/>
      <c r="AN22" s="197"/>
      <c r="AO22" s="197"/>
      <c r="AP22" s="197"/>
      <c r="AQ22" s="197"/>
      <c r="AR22" s="197"/>
      <c r="AS22" s="197"/>
      <c r="AT22" s="197"/>
      <c r="AU22" s="197"/>
      <c r="AV22" s="197"/>
      <c r="AW22" s="197"/>
    </row>
    <row r="23" spans="1:56" x14ac:dyDescent="0.3">
      <c r="A23" s="169">
        <v>46087</v>
      </c>
      <c r="B23" s="159">
        <f t="shared" si="106"/>
        <v>2026</v>
      </c>
      <c r="C23" s="159">
        <f t="shared" si="107"/>
        <v>3</v>
      </c>
      <c r="D23" s="190">
        <v>495</v>
      </c>
      <c r="E23" s="190">
        <v>465</v>
      </c>
      <c r="F23" s="189">
        <v>375</v>
      </c>
      <c r="G23" s="189">
        <v>580</v>
      </c>
      <c r="H23" s="189">
        <v>537.5</v>
      </c>
      <c r="I23" s="174">
        <v>3.024</v>
      </c>
      <c r="J23" s="189">
        <v>92.72</v>
      </c>
      <c r="K23" s="205"/>
      <c r="L23" s="205"/>
      <c r="M23" s="205"/>
      <c r="N23" s="205"/>
      <c r="O23" s="205"/>
      <c r="P23" s="205"/>
      <c r="Q23" s="171">
        <f t="shared" si="108"/>
        <v>0.13636363636363635</v>
      </c>
      <c r="R23" s="171">
        <f t="shared" si="109"/>
        <v>0.20833333333333334</v>
      </c>
      <c r="S23" s="171">
        <f t="shared" si="110"/>
        <v>0.217440543601359</v>
      </c>
      <c r="T23" s="171">
        <f t="shared" si="111"/>
        <v>3.8818275506698724E-2</v>
      </c>
      <c r="U23" s="171">
        <f t="shared" si="112"/>
        <v>0.27413392697640543</v>
      </c>
      <c r="V23" s="171">
        <f t="shared" si="94"/>
        <v>0.35989010989010989</v>
      </c>
      <c r="W23" s="171">
        <f t="shared" si="113"/>
        <v>0.33620689655172414</v>
      </c>
      <c r="X23" s="172">
        <f t="shared" si="96"/>
        <v>0.16279069767441862</v>
      </c>
      <c r="Y23" s="172">
        <f t="shared" si="97"/>
        <v>0.13725490196078433</v>
      </c>
      <c r="Z23" s="172">
        <f t="shared" si="98"/>
        <v>0.26470588235294118</v>
      </c>
      <c r="AA23" s="172">
        <f t="shared" si="99"/>
        <v>-0.10764872521246477</v>
      </c>
      <c r="AB23" s="172">
        <f t="shared" si="100"/>
        <v>0.39802780374536345</v>
      </c>
      <c r="AC23" s="172">
        <f t="shared" si="56"/>
        <v>0.35989010989010989</v>
      </c>
      <c r="AD23" s="172">
        <f t="shared" si="74"/>
        <v>0.33620689655172414</v>
      </c>
      <c r="AE23" s="172">
        <f t="shared" si="101"/>
        <v>0.57894736842105265</v>
      </c>
      <c r="AF23" s="172">
        <f t="shared" si="102"/>
        <v>0.84126984126984128</v>
      </c>
      <c r="AG23" s="172">
        <f t="shared" si="103"/>
        <v>0.37820512820512819</v>
      </c>
      <c r="AH23" s="172">
        <f t="shared" si="104"/>
        <v>-0.30074457753318212</v>
      </c>
      <c r="AI23" s="172">
        <f t="shared" si="105"/>
        <v>0.29241920388697507</v>
      </c>
      <c r="AJ23" s="172">
        <f t="shared" si="62"/>
        <v>0.59163987138263663</v>
      </c>
      <c r="AK23" s="172">
        <f t="shared" si="79"/>
        <v>0.54485049833887045</v>
      </c>
      <c r="AM23" s="197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</row>
    <row r="24" spans="1:56" x14ac:dyDescent="0.3">
      <c r="A24" s="169">
        <v>46080</v>
      </c>
      <c r="B24" s="159">
        <f t="shared" si="106"/>
        <v>2026</v>
      </c>
      <c r="C24" s="159">
        <f t="shared" si="107"/>
        <v>2</v>
      </c>
      <c r="D24" s="190">
        <f>AVERAGEIFS(data!G:G,data!A:A,'weekly-forecast'!B24,data!B:B,'weekly-forecast'!C24)</f>
        <v>364</v>
      </c>
      <c r="E24" s="190">
        <f>AVERAGEIFS(data!F:F,data!A:A,'weekly-forecast'!B24,data!B:B,'weekly-forecast'!C24)</f>
        <v>348</v>
      </c>
      <c r="F24" s="190">
        <v>330</v>
      </c>
      <c r="G24" s="190">
        <v>480</v>
      </c>
      <c r="H24" s="190">
        <v>441.5</v>
      </c>
      <c r="I24" s="170">
        <v>2.911</v>
      </c>
      <c r="J24" s="190">
        <v>72.771000000000001</v>
      </c>
      <c r="K24" s="200">
        <f>AVERAGE(D24:D27)</f>
        <v>364</v>
      </c>
      <c r="L24" s="200">
        <f t="shared" ref="L24:P24" si="114">AVERAGE(E24:E27)</f>
        <v>348</v>
      </c>
      <c r="M24" s="200">
        <f t="shared" si="114"/>
        <v>328.125</v>
      </c>
      <c r="N24" s="200">
        <f t="shared" si="114"/>
        <v>493.125</v>
      </c>
      <c r="O24" s="200">
        <f t="shared" si="114"/>
        <v>424.375</v>
      </c>
      <c r="P24" s="200">
        <f t="shared" si="114"/>
        <v>3.1349499999999999</v>
      </c>
      <c r="Q24" s="171">
        <f t="shared" si="108"/>
        <v>0</v>
      </c>
      <c r="R24" s="171">
        <f t="shared" si="109"/>
        <v>-1.5384615384615385E-2</v>
      </c>
      <c r="S24" s="171">
        <f t="shared" si="110"/>
        <v>3.0338389731621937E-2</v>
      </c>
      <c r="T24" s="171">
        <f t="shared" si="111"/>
        <v>-5.0430584551148315E-2</v>
      </c>
      <c r="U24" s="171">
        <f t="shared" si="112"/>
        <v>1.1199888834850237E-2</v>
      </c>
      <c r="V24" s="171">
        <f t="shared" si="94"/>
        <v>0</v>
      </c>
      <c r="W24" s="171">
        <f t="shared" si="113"/>
        <v>0</v>
      </c>
      <c r="X24" s="172">
        <f t="shared" si="96"/>
        <v>2.3255813953488372E-2</v>
      </c>
      <c r="Y24" s="172">
        <f t="shared" si="97"/>
        <v>-7.6923076923076927E-2</v>
      </c>
      <c r="Z24" s="172">
        <f t="shared" si="98"/>
        <v>7.6829268292682926E-2</v>
      </c>
      <c r="AA24" s="172">
        <f t="shared" si="99"/>
        <v>-0.50637590721020143</v>
      </c>
      <c r="AB24" s="172">
        <f t="shared" si="100"/>
        <v>0.12658911946631765</v>
      </c>
      <c r="AC24" s="172">
        <f t="shared" si="56"/>
        <v>8.3102493074792248E-3</v>
      </c>
      <c r="AD24" s="172">
        <f t="shared" si="74"/>
        <v>5.7803468208092483E-3</v>
      </c>
      <c r="AE24" s="172">
        <f t="shared" si="101"/>
        <v>0.38947368421052631</v>
      </c>
      <c r="AF24" s="172">
        <f t="shared" si="102"/>
        <v>0.52380952380952384</v>
      </c>
      <c r="AG24" s="172">
        <f t="shared" si="103"/>
        <v>0.13205128205128205</v>
      </c>
      <c r="AH24" s="172">
        <f t="shared" si="104"/>
        <v>-0.26645499445620408</v>
      </c>
      <c r="AI24" s="172">
        <f t="shared" si="105"/>
        <v>-3.221044512122135E-2</v>
      </c>
      <c r="AJ24" s="172">
        <f t="shared" si="62"/>
        <v>0.17419354838709677</v>
      </c>
      <c r="AK24" s="172">
        <f t="shared" si="79"/>
        <v>0.12987012987012986</v>
      </c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</row>
    <row r="25" spans="1:56" x14ac:dyDescent="0.3">
      <c r="A25" s="169">
        <v>46073</v>
      </c>
      <c r="B25" s="159">
        <f t="shared" si="106"/>
        <v>2026</v>
      </c>
      <c r="C25" s="159">
        <f t="shared" si="107"/>
        <v>2</v>
      </c>
      <c r="D25" s="190">
        <f>AVERAGEIFS(data!G:G,data!A:A,'weekly-forecast'!B25,data!B:B,'weekly-forecast'!C25)</f>
        <v>364</v>
      </c>
      <c r="E25" s="190">
        <f>AVERAGEIFS(data!F:F,data!A:A,'weekly-forecast'!B25,data!B:B,'weekly-forecast'!C25)</f>
        <v>348</v>
      </c>
      <c r="F25" s="190">
        <v>330</v>
      </c>
      <c r="G25" s="190">
        <v>487.5</v>
      </c>
      <c r="H25" s="190">
        <v>428.5</v>
      </c>
      <c r="I25" s="170">
        <v>3.0656000000000003</v>
      </c>
      <c r="J25" s="190">
        <v>71.965000000000003</v>
      </c>
      <c r="K25" s="201"/>
      <c r="L25" s="201"/>
      <c r="M25" s="201"/>
      <c r="N25" s="201"/>
      <c r="O25" s="201"/>
      <c r="P25" s="201"/>
      <c r="Q25" s="171">
        <f t="shared" si="108"/>
        <v>0</v>
      </c>
      <c r="R25" s="171">
        <f t="shared" si="109"/>
        <v>-1.5151515151515152E-2</v>
      </c>
      <c r="S25" s="171">
        <f t="shared" si="110"/>
        <v>6.4596273291925466E-2</v>
      </c>
      <c r="T25" s="171">
        <f t="shared" si="111"/>
        <v>-3.4274193548386962E-2</v>
      </c>
      <c r="U25" s="171">
        <f t="shared" si="112"/>
        <v>6.8840041586217218E-2</v>
      </c>
      <c r="V25" s="171">
        <f t="shared" si="94"/>
        <v>0</v>
      </c>
      <c r="W25" s="171">
        <f t="shared" si="113"/>
        <v>0</v>
      </c>
      <c r="X25" s="172">
        <f t="shared" si="96"/>
        <v>0.1891891891891892</v>
      </c>
      <c r="Y25" s="172">
        <f t="shared" si="97"/>
        <v>-6.25E-2</v>
      </c>
      <c r="Z25" s="172">
        <f t="shared" si="98"/>
        <v>0.11010362694300518</v>
      </c>
      <c r="AA25" s="172">
        <f t="shared" si="99"/>
        <v>-0.30970502139157852</v>
      </c>
      <c r="AB25" s="172">
        <f t="shared" si="100"/>
        <v>0.11411119790017388</v>
      </c>
      <c r="AC25" s="172">
        <f t="shared" si="56"/>
        <v>8.3102493074792248E-3</v>
      </c>
      <c r="AD25" s="172">
        <f t="shared" si="74"/>
        <v>5.7803468208092483E-3</v>
      </c>
      <c r="AE25" s="172">
        <f t="shared" si="101"/>
        <v>0.38947368421052631</v>
      </c>
      <c r="AF25" s="172">
        <f t="shared" si="102"/>
        <v>0.38297872340425532</v>
      </c>
      <c r="AG25" s="172">
        <f t="shared" si="103"/>
        <v>8.4810126582278475E-2</v>
      </c>
      <c r="AH25" s="172">
        <f t="shared" si="104"/>
        <v>-0.26453547651892279</v>
      </c>
      <c r="AI25" s="172">
        <f t="shared" si="105"/>
        <v>-4.2929528014575752E-2</v>
      </c>
      <c r="AJ25" s="172">
        <f t="shared" si="62"/>
        <v>0.17419354838709677</v>
      </c>
      <c r="AK25" s="172">
        <f t="shared" si="79"/>
        <v>0.12987012987012986</v>
      </c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</row>
    <row r="26" spans="1:56" x14ac:dyDescent="0.3">
      <c r="A26" s="169">
        <v>46066</v>
      </c>
      <c r="B26" s="159">
        <f t="shared" si="106"/>
        <v>2026</v>
      </c>
      <c r="C26" s="159">
        <f t="shared" si="107"/>
        <v>2</v>
      </c>
      <c r="D26" s="190">
        <f>AVERAGEIFS(data!G:G,data!A:A,'weekly-forecast'!B26,data!B:B,'weekly-forecast'!C26)</f>
        <v>364</v>
      </c>
      <c r="E26" s="190">
        <f>AVERAGEIFS(data!F:F,data!A:A,'weekly-forecast'!B26,data!B:B,'weekly-forecast'!C26)</f>
        <v>348</v>
      </c>
      <c r="F26" s="190">
        <v>330</v>
      </c>
      <c r="G26" s="190">
        <v>495</v>
      </c>
      <c r="H26" s="190">
        <v>402.5</v>
      </c>
      <c r="I26" s="170">
        <v>3.1743999999999999</v>
      </c>
      <c r="J26" s="190">
        <v>67.33</v>
      </c>
      <c r="K26" s="201"/>
      <c r="L26" s="201"/>
      <c r="M26" s="201"/>
      <c r="N26" s="201"/>
      <c r="O26" s="201"/>
      <c r="P26" s="201"/>
      <c r="Q26" s="171">
        <f t="shared" si="108"/>
        <v>2.3255813953488372E-2</v>
      </c>
      <c r="R26" s="171">
        <f t="shared" si="109"/>
        <v>-2.9411764705882353E-2</v>
      </c>
      <c r="S26" s="171">
        <f t="shared" si="110"/>
        <v>-5.2941176470588235E-2</v>
      </c>
      <c r="T26" s="171">
        <f t="shared" si="111"/>
        <v>-6.326723323890486E-2</v>
      </c>
      <c r="U26" s="171">
        <f t="shared" si="112"/>
        <v>1.5198576641235119E-2</v>
      </c>
      <c r="V26" s="171">
        <f t="shared" si="94"/>
        <v>0</v>
      </c>
      <c r="W26" s="171">
        <f t="shared" si="113"/>
        <v>0</v>
      </c>
      <c r="X26" s="172">
        <f t="shared" si="96"/>
        <v>0.1891891891891892</v>
      </c>
      <c r="Y26" s="172">
        <f t="shared" si="97"/>
        <v>-4.807692307692308E-2</v>
      </c>
      <c r="Z26" s="172">
        <f t="shared" si="98"/>
        <v>7.476635514018691E-2</v>
      </c>
      <c r="AA26" s="172">
        <f t="shared" si="99"/>
        <v>-1.8975214784597287E-2</v>
      </c>
      <c r="AB26" s="172">
        <f t="shared" si="100"/>
        <v>4.2355408248713977E-2</v>
      </c>
      <c r="AC26" s="172">
        <f t="shared" si="56"/>
        <v>8.3102493074792248E-3</v>
      </c>
      <c r="AD26" s="172">
        <f t="shared" si="74"/>
        <v>5.7803468208092483E-3</v>
      </c>
      <c r="AE26" s="172">
        <f t="shared" si="101"/>
        <v>0.36082474226804123</v>
      </c>
      <c r="AF26" s="172">
        <f t="shared" si="102"/>
        <v>0.40425531914893614</v>
      </c>
      <c r="AG26" s="172">
        <f t="shared" si="103"/>
        <v>7.3333333333333334E-2</v>
      </c>
      <c r="AH26" s="172">
        <f t="shared" si="104"/>
        <v>-0.11235389519601816</v>
      </c>
      <c r="AI26" s="172">
        <f t="shared" si="105"/>
        <v>-0.10457090420650858</v>
      </c>
      <c r="AJ26" s="172">
        <f t="shared" si="62"/>
        <v>0.17419354838709677</v>
      </c>
      <c r="AK26" s="172">
        <f t="shared" si="79"/>
        <v>0.12987012987012986</v>
      </c>
      <c r="AN26" s="156">
        <v>46101</v>
      </c>
      <c r="AO26" s="156">
        <f>AN26+7</f>
        <v>46108</v>
      </c>
      <c r="AP26" s="156">
        <f>AO26+7</f>
        <v>46115</v>
      </c>
      <c r="AQ26" s="156">
        <f>AP26+7</f>
        <v>46122</v>
      </c>
      <c r="AR26" s="156">
        <f t="shared" ref="AR26:AT26" si="115">AQ26+7</f>
        <v>46129</v>
      </c>
      <c r="AS26" s="156">
        <f t="shared" si="115"/>
        <v>46136</v>
      </c>
      <c r="AT26" s="156">
        <f t="shared" si="115"/>
        <v>46143</v>
      </c>
      <c r="AU26" s="156">
        <f t="shared" ref="AU26" si="116">AT26+7</f>
        <v>46150</v>
      </c>
      <c r="AV26" s="156">
        <f t="shared" ref="AV26" si="117">AU26+7</f>
        <v>46157</v>
      </c>
      <c r="AW26" s="156">
        <f t="shared" ref="AW26" si="118">AV26+7</f>
        <v>46164</v>
      </c>
      <c r="AX26" s="156">
        <f t="shared" ref="AX26" si="119">AW26+7</f>
        <v>46171</v>
      </c>
      <c r="AY26" s="156">
        <f t="shared" ref="AY26:BB26" si="120">AX26+7</f>
        <v>46178</v>
      </c>
      <c r="AZ26" s="156">
        <f t="shared" si="120"/>
        <v>46185</v>
      </c>
      <c r="BA26" s="156">
        <f t="shared" si="120"/>
        <v>46192</v>
      </c>
      <c r="BB26" s="156">
        <f t="shared" si="120"/>
        <v>46199</v>
      </c>
    </row>
    <row r="27" spans="1:56" x14ac:dyDescent="0.3">
      <c r="A27" s="169">
        <v>46059</v>
      </c>
      <c r="B27" s="159">
        <f t="shared" si="106"/>
        <v>2026</v>
      </c>
      <c r="C27" s="159">
        <f t="shared" si="107"/>
        <v>2</v>
      </c>
      <c r="D27" s="190">
        <f>AVERAGEIFS(data!G:G,data!A:A,'weekly-forecast'!B27,data!B:B,'weekly-forecast'!C27)</f>
        <v>364</v>
      </c>
      <c r="E27" s="190">
        <f>AVERAGEIFS(data!F:F,data!A:A,'weekly-forecast'!B27,data!B:B,'weekly-forecast'!C27)</f>
        <v>348</v>
      </c>
      <c r="F27" s="190">
        <v>322.5</v>
      </c>
      <c r="G27" s="190">
        <v>510</v>
      </c>
      <c r="H27" s="190">
        <v>425</v>
      </c>
      <c r="I27" s="170">
        <v>3.3888000000000007</v>
      </c>
      <c r="J27" s="190">
        <v>66.322000000000003</v>
      </c>
      <c r="K27" s="202"/>
      <c r="L27" s="202"/>
      <c r="M27" s="202"/>
      <c r="N27" s="202"/>
      <c r="O27" s="202"/>
      <c r="P27" s="202"/>
      <c r="Q27" s="171">
        <f t="shared" si="108"/>
        <v>0</v>
      </c>
      <c r="R27" s="171">
        <f t="shared" si="109"/>
        <v>-1.9230769230769232E-2</v>
      </c>
      <c r="S27" s="171">
        <f t="shared" si="110"/>
        <v>3.6585365853658534E-2</v>
      </c>
      <c r="T27" s="171">
        <f t="shared" si="111"/>
        <v>-0.42535440548056691</v>
      </c>
      <c r="U27" s="171">
        <f t="shared" si="112"/>
        <v>2.6750265644901423E-2</v>
      </c>
      <c r="V27" s="171">
        <f t="shared" si="94"/>
        <v>8.3102493074792248E-3</v>
      </c>
      <c r="W27" s="171">
        <f>(E27-E28)/E28</f>
        <v>5.7803468208092483E-3</v>
      </c>
      <c r="X27" s="172">
        <f t="shared" si="96"/>
        <v>0.22857142857142856</v>
      </c>
      <c r="Y27" s="172">
        <f t="shared" si="97"/>
        <v>-1.9230769230769232E-2</v>
      </c>
      <c r="Z27" s="172">
        <f t="shared" si="98"/>
        <v>0.15332428765264586</v>
      </c>
      <c r="AA27" s="172">
        <f t="shared" si="99"/>
        <v>-1.7674089784374158E-3</v>
      </c>
      <c r="AB27" s="172">
        <f t="shared" si="100"/>
        <v>2.6750265644901423E-2</v>
      </c>
      <c r="AC27" s="172">
        <f t="shared" si="56"/>
        <v>8.3102493074792248E-3</v>
      </c>
      <c r="AD27" s="172">
        <f t="shared" si="74"/>
        <v>5.7803468208092483E-3</v>
      </c>
      <c r="AE27" s="172">
        <f t="shared" si="101"/>
        <v>0.32989690721649484</v>
      </c>
      <c r="AF27" s="172">
        <f t="shared" si="102"/>
        <v>0.44680851063829785</v>
      </c>
      <c r="AG27" s="172">
        <f t="shared" si="103"/>
        <v>0.13333333333333333</v>
      </c>
      <c r="AH27" s="172">
        <f t="shared" si="104"/>
        <v>1.5705550893178544E-2</v>
      </c>
      <c r="AI27" s="172">
        <f t="shared" si="105"/>
        <v>-0.11797640737834633</v>
      </c>
      <c r="AJ27" s="172">
        <f t="shared" si="62"/>
        <v>0.17419354838709677</v>
      </c>
      <c r="AK27" s="172">
        <f t="shared" si="79"/>
        <v>0.12987012987012986</v>
      </c>
      <c r="AM27" t="s">
        <v>70</v>
      </c>
      <c r="AN27" s="131">
        <f xml:space="preserve"> 0.080991528041*E26 + 0.303754553817*E28 - 0.25338201366*G22 + 0.269148503584*G23 + 0.00378757678133*F22 + 0.43547234846*F23 - 12.2555082812*I22 + 15.7710625006*I23 + 0.517281394734*H22 - 0.299449478792*H23 - 3.00478655786</f>
        <v>469.046908532489</v>
      </c>
      <c r="AO27" s="131">
        <f xml:space="preserve"> 0.080991528041*E21 + 0.303754553817*E22 - 0.25338201366*G21 + 0.269148503584*G22 + 0.00378757678133*F21 + 0.43547234846*F22 - 12.2555082812*I21 + 15.7710625006*I22 + 0.517281394734*H21 - 0.299449478792*H22 - 3.00478655786</f>
        <v>510.99107050970889</v>
      </c>
      <c r="AP27" s="131">
        <f xml:space="preserve"> 0.080991528041*E20 + 0.303754553817*E21 - 0.25338201366*G20 + 0.269148503584*G21 + 0.00378757678133*F20 + 0.43547234846*F21 - 12.2555082812*I20 + 15.7710625006*I21 + 0.517281394734*H20 - 0.299449478792*H21 - 3.00478655786</f>
        <v>503.64917726481434</v>
      </c>
      <c r="AQ27" s="131">
        <f xml:space="preserve"> 0.080991528041*E19 + 0.303754553817*E20 - 0.25338201366*G19 + 0.269148503584*G20 + 0.00378757678133*F19 + 0.43547234846*F20 - 12.2555082812*I19 + 15.7710625006*I20 + 0.517281394734*H19 - 0.299449478792*H20 - 3.00478655786</f>
        <v>570.72542524156813</v>
      </c>
      <c r="AR27" s="131">
        <f xml:space="preserve"> 0.080991528041*E18 + 0.303754553817*E19 - 0.25338201366*G18 + 0.269148503584*G19 + 0.00378757678133*F18 + 0.43547234846*F19 - 12.2555082812*I18 + 15.7710625006*I19 + 0.517281394734*H18 - 0.299449478792*H19 - 3.00478655786</f>
        <v>556.54117711851416</v>
      </c>
      <c r="AS27" s="131">
        <f xml:space="preserve"> 0.080991528041*E17 + 0.303754553817*E18 - 0.25338201366*G17 + 0.269148503584*G18 + 0.00378757678133*F17 + 0.43547234846*F18 - 12.2555082812*I17 + 15.7710625006*I18 + 0.517281394734*H17 - 0.299449478792*H18 - 3.00478655786</f>
        <v>577.74491389733612</v>
      </c>
      <c r="AT27" s="131">
        <f xml:space="preserve"> 0.080991528041*E16 + 0.303754553817*E17 - 0.25338201366*G16 + 0.269148503584*G17 + 0.00378757678133*F16 + 0.43547234846*F17 - 12.2555082812*I16 + 15.7710625006*I17 + 0.517281394734*H16 - 0.299449478792*H17 - 3.00478655786</f>
        <v>608.57564534113521</v>
      </c>
      <c r="AU27" s="131">
        <f xml:space="preserve"> 0.080991528041*E15 + 0.303754553817*E16 - 0.25338201366*G15 + 0.269148503584*G16 + 0.00378757678133*F15 + 0.43547234846*F16 - 12.2555082812*I15 + 15.7710625006*I16 + 0.517281394734*H15 - 0.299449478792*H16 - 3.00478655786</f>
        <v>619.54952255262185</v>
      </c>
      <c r="AV27" s="131">
        <f xml:space="preserve"> 0.080991528041*E14 + 0.303754553817*E15 - 0.25338201366*G14 + 0.269148503584*G15 + 0.00378757678133*F14 + 0.43547234846*F15 - 12.2555082812*I14 + 15.7710625006*I15 + 0.517281394734*H14 - 0.299449478792*H15 - 3.00478655786</f>
        <v>613.19689015226618</v>
      </c>
      <c r="AW27" s="131">
        <f xml:space="preserve"> 0.080991528041*E13 + 0.303754553817*E14 - 0.25338201366*G13 + 0.269148503584*G14 + 0.00378757678133*F13 + 0.43547234846*F14 - 12.2555082812*I13 + 15.7710625006*I14 + 0.517281394734*H13 - 0.299449478792*H14 - 3.00478655786</f>
        <v>590.62192429174218</v>
      </c>
      <c r="AX27" s="131">
        <f xml:space="preserve"> 0.080991528041*E12 + 0.303754553817*E13 - 0.25338201366*G12 + 0.269148503584*G13 + 0.00378757678133*F12 + 0.43547234846*F13 - 12.2555082812*I12 + 15.7710625006*I13 + 0.517281394734*H12 - 0.299449478792*H13 - 3.00478655786</f>
        <v>587.08609693891356</v>
      </c>
      <c r="AY27" s="131">
        <f xml:space="preserve"> 0.080991528041*E11 + 0.303754553817*E12 - 0.25338201366*G11 + 0.269148503584*G12 + 0.00378757678133*F11 + 0.43547234846*F12 - 12.2555082812*I11 + 15.7710625006*I12 + 0.517281394734*H11 - 0.299449478792*H12 - 3.00478655786</f>
        <v>563.95875943616306</v>
      </c>
      <c r="AZ27" s="136">
        <f xml:space="preserve"> 0.080991528041*E10 + 0.303754553817*E11 - 0.25338201366*G11 + 0.269148503584*G12 + 0.00378757678133*F11 + 0.43547234846*F12 - 12.2555082812*I10 + 15.7710625006*I11 + 0.517281394734*H11 - 0.299449478792*H12 - 3.00478655786</f>
        <v>558.71822634112891</v>
      </c>
      <c r="BA27" s="136">
        <f xml:space="preserve"> 0.080991528041*E9 + 0.303754553817*E10 - 0.25338201366*G11 + 0.269148503584*G12 + 0.00378757678133*F11 + 0.43547234846*F12 - 12.2555082812*I10 + 15.7710625006*I11 + 0.517281394734*H11 - 0.299449478792*H12 - 3.00478655786</f>
        <v>548.80434183939497</v>
      </c>
      <c r="BB27" s="136">
        <f xml:space="preserve"> 0.080991528041*E8 + 0.303754553817*E9 - 0.25338201366*G11 + 0.269148503584*G12 + 0.00378757678133*F11 + 0.43547234846*F12 - 12.2555082812*I10 + 15.7710625006*I11 + 0.517281394734*H11 - 0.299449478792*H12 - 3.00478655786</f>
        <v>535.12381888683308</v>
      </c>
      <c r="BC27" s="136"/>
      <c r="BD27" s="154"/>
    </row>
    <row r="28" spans="1:56" x14ac:dyDescent="0.3">
      <c r="A28" s="169">
        <v>46052</v>
      </c>
      <c r="B28" s="159">
        <f t="shared" si="106"/>
        <v>2026</v>
      </c>
      <c r="C28" s="159">
        <f t="shared" si="107"/>
        <v>1</v>
      </c>
      <c r="D28" s="190">
        <f>AVERAGEIFS(data!G:G,data!A:A,'weekly-forecast'!B28,data!B:B,'weekly-forecast'!C28)</f>
        <v>361</v>
      </c>
      <c r="E28" s="190">
        <f>AVERAGEIFS(data!F:F,data!A:A,'weekly-forecast'!B28,data!B:B,'weekly-forecast'!C28)</f>
        <v>346</v>
      </c>
      <c r="F28" s="190">
        <v>322.5</v>
      </c>
      <c r="G28" s="190">
        <v>520</v>
      </c>
      <c r="H28" s="190">
        <v>410</v>
      </c>
      <c r="I28" s="170">
        <v>5.8971999999999998</v>
      </c>
      <c r="J28" s="190">
        <v>64.594090909090909</v>
      </c>
      <c r="K28" s="200">
        <f>AVERAGE(D8:D32)</f>
        <v>528.71194616289858</v>
      </c>
      <c r="L28" s="200">
        <f t="shared" ref="L28:P28" si="121">AVERAGE(E8:E32)</f>
        <v>473.64324280120911</v>
      </c>
      <c r="M28" s="200">
        <f t="shared" si="121"/>
        <v>397.7</v>
      </c>
      <c r="N28" s="200">
        <f t="shared" si="121"/>
        <v>635</v>
      </c>
      <c r="O28" s="200">
        <f t="shared" si="121"/>
        <v>531.66</v>
      </c>
      <c r="P28" s="200">
        <f t="shared" si="121"/>
        <v>3.2196180000000005</v>
      </c>
      <c r="Q28" s="171">
        <f t="shared" si="108"/>
        <v>0.16216216216216217</v>
      </c>
      <c r="R28" s="171">
        <f t="shared" si="109"/>
        <v>0</v>
      </c>
      <c r="S28" s="171">
        <f t="shared" si="110"/>
        <v>6.2176165803108807E-2</v>
      </c>
      <c r="T28" s="171">
        <f t="shared" si="111"/>
        <v>0.32789912181940978</v>
      </c>
      <c r="U28" s="171">
        <f t="shared" si="112"/>
        <v>0</v>
      </c>
      <c r="V28" s="171">
        <f t="shared" si="94"/>
        <v>0</v>
      </c>
      <c r="W28" s="171">
        <f t="shared" si="113"/>
        <v>0</v>
      </c>
      <c r="X28" s="172">
        <f t="shared" si="96"/>
        <v>0.22857142857142856</v>
      </c>
      <c r="Y28" s="172">
        <f t="shared" si="97"/>
        <v>0</v>
      </c>
      <c r="Z28" s="172">
        <f t="shared" si="98"/>
        <v>0.15492957746478872</v>
      </c>
      <c r="AA28" s="172">
        <f t="shared" si="99"/>
        <v>0.47771722107373288</v>
      </c>
      <c r="AB28" s="172">
        <f t="shared" si="100"/>
        <v>0</v>
      </c>
      <c r="AC28" s="172">
        <f t="shared" si="56"/>
        <v>0</v>
      </c>
      <c r="AD28" s="172">
        <f t="shared" si="74"/>
        <v>0</v>
      </c>
      <c r="AE28" s="172">
        <f t="shared" si="101"/>
        <v>0.43333333333333335</v>
      </c>
      <c r="AF28" s="172">
        <f t="shared" si="102"/>
        <v>0.47517730496453903</v>
      </c>
      <c r="AG28" s="172">
        <f t="shared" si="103"/>
        <v>0.1310344827586207</v>
      </c>
      <c r="AH28" s="172">
        <f t="shared" si="104"/>
        <v>0.7557460997975467</v>
      </c>
      <c r="AI28" s="172">
        <f t="shared" si="105"/>
        <v>-0.17392430695756875</v>
      </c>
      <c r="AJ28" s="172">
        <f t="shared" si="62"/>
        <v>0.19933554817275748</v>
      </c>
      <c r="AK28" s="172">
        <f t="shared" si="79"/>
        <v>0.25362318840579712</v>
      </c>
      <c r="AN28" s="131"/>
      <c r="AO28" s="131">
        <f>AO27-AN27</f>
        <v>41.944161977219892</v>
      </c>
      <c r="AP28" s="131">
        <f>AP27-AO27</f>
        <v>-7.3418932448945498</v>
      </c>
      <c r="AQ28" s="131">
        <f>AQ27-AP27</f>
        <v>67.076247976753791</v>
      </c>
      <c r="AR28" s="131">
        <f t="shared" ref="AR28:AT28" si="122">AR27-AQ27</f>
        <v>-14.184248123053976</v>
      </c>
      <c r="AS28" s="131">
        <f t="shared" si="122"/>
        <v>21.203736778821963</v>
      </c>
      <c r="AT28" s="131">
        <f t="shared" si="122"/>
        <v>30.830731443799095</v>
      </c>
      <c r="AU28" s="131">
        <f t="shared" ref="AU28" si="123">AU27-AT27</f>
        <v>10.973877211486638</v>
      </c>
      <c r="AV28" s="131">
        <f t="shared" ref="AV28" si="124">AV27-AU27</f>
        <v>-6.3526324003556738</v>
      </c>
      <c r="AW28" s="131">
        <f t="shared" ref="AW28" si="125">AW27-AV27</f>
        <v>-22.574965860524003</v>
      </c>
      <c r="AX28" s="131">
        <f t="shared" ref="AX28" si="126">AX27-AW27</f>
        <v>-3.535827352828619</v>
      </c>
      <c r="AY28" s="131">
        <f t="shared" ref="AY28" si="127">AY27-AX27</f>
        <v>-23.127337502750493</v>
      </c>
      <c r="AZ28" s="131">
        <f t="shared" ref="AZ28" si="128">AZ27-AY27</f>
        <v>-5.2405330950341522</v>
      </c>
      <c r="BC28" s="136"/>
      <c r="BD28" s="154"/>
    </row>
    <row r="29" spans="1:56" x14ac:dyDescent="0.3">
      <c r="A29" s="169">
        <v>46045</v>
      </c>
      <c r="B29" s="159">
        <f t="shared" si="106"/>
        <v>2026</v>
      </c>
      <c r="C29" s="159">
        <f t="shared" si="107"/>
        <v>1</v>
      </c>
      <c r="D29" s="190">
        <f>AVERAGEIFS(data!G:G,data!A:A,'weekly-forecast'!B29,data!B:B,'weekly-forecast'!C29)</f>
        <v>361</v>
      </c>
      <c r="E29" s="190">
        <f>AVERAGEIFS(data!F:F,data!A:A,'weekly-forecast'!B29,data!B:B,'weekly-forecast'!C29)</f>
        <v>346</v>
      </c>
      <c r="F29" s="190">
        <v>277.5</v>
      </c>
      <c r="G29" s="190">
        <v>520</v>
      </c>
      <c r="H29" s="190">
        <v>386</v>
      </c>
      <c r="I29" s="170">
        <v>4.4410000000000007</v>
      </c>
      <c r="J29" s="190">
        <v>64.594090909090909</v>
      </c>
      <c r="K29" s="201"/>
      <c r="L29" s="201"/>
      <c r="M29" s="201"/>
      <c r="N29" s="201"/>
      <c r="O29" s="201"/>
      <c r="P29" s="201"/>
      <c r="Q29" s="171">
        <f t="shared" si="108"/>
        <v>0</v>
      </c>
      <c r="R29" s="171">
        <f t="shared" si="109"/>
        <v>0</v>
      </c>
      <c r="S29" s="171">
        <f t="shared" si="110"/>
        <v>3.0707610146862484E-2</v>
      </c>
      <c r="T29" s="171">
        <f t="shared" si="111"/>
        <v>0.37245812472958806</v>
      </c>
      <c r="U29" s="171">
        <f t="shared" si="112"/>
        <v>0</v>
      </c>
      <c r="V29" s="171">
        <f t="shared" si="94"/>
        <v>0</v>
      </c>
      <c r="W29" s="171">
        <f t="shared" si="113"/>
        <v>0</v>
      </c>
      <c r="X29" s="172">
        <f t="shared" si="96"/>
        <v>5.7142857142857141E-2</v>
      </c>
      <c r="Y29" s="172">
        <f t="shared" si="97"/>
        <v>0.04</v>
      </c>
      <c r="Z29" s="172">
        <f t="shared" si="98"/>
        <v>0.12700729927007298</v>
      </c>
      <c r="AA29" s="172">
        <f t="shared" si="99"/>
        <v>4.6110358636122797E-2</v>
      </c>
      <c r="AB29" s="172">
        <f t="shared" si="100"/>
        <v>4.502735615954815E-2</v>
      </c>
      <c r="AC29" s="172">
        <f t="shared" si="56"/>
        <v>2.7777777777777779E-3</v>
      </c>
      <c r="AD29" s="172">
        <f t="shared" si="74"/>
        <v>5.4878048780487805E-2</v>
      </c>
      <c r="AE29" s="172">
        <f t="shared" si="101"/>
        <v>0.23333333333333334</v>
      </c>
      <c r="AF29" s="172">
        <f t="shared" si="102"/>
        <v>0.26829268292682928</v>
      </c>
      <c r="AG29" s="172">
        <f t="shared" si="103"/>
        <v>6.4827586206896548E-2</v>
      </c>
      <c r="AH29" s="172">
        <f t="shared" si="104"/>
        <v>0.13233044365119864</v>
      </c>
      <c r="AI29" s="172">
        <f t="shared" si="105"/>
        <v>-0.17392430695756875</v>
      </c>
      <c r="AJ29" s="172">
        <f t="shared" si="62"/>
        <v>0.19933554817275748</v>
      </c>
      <c r="AK29" s="172">
        <f t="shared" si="79"/>
        <v>0.25362318840579712</v>
      </c>
      <c r="AN29" s="131"/>
      <c r="AO29" s="131"/>
      <c r="BC29" s="136"/>
      <c r="BD29" s="154"/>
    </row>
    <row r="30" spans="1:56" x14ac:dyDescent="0.3">
      <c r="A30" s="169">
        <v>46038</v>
      </c>
      <c r="B30" s="159">
        <f t="shared" si="106"/>
        <v>2026</v>
      </c>
      <c r="C30" s="159">
        <f t="shared" si="107"/>
        <v>1</v>
      </c>
      <c r="D30" s="190">
        <f>AVERAGEIFS(data!G:G,data!A:A,'weekly-forecast'!B30,data!B:B,'weekly-forecast'!C30)</f>
        <v>361</v>
      </c>
      <c r="E30" s="190">
        <f>AVERAGEIFS(data!F:F,data!A:A,'weekly-forecast'!B30,data!B:B,'weekly-forecast'!C30)</f>
        <v>346</v>
      </c>
      <c r="F30" s="190">
        <v>277.5</v>
      </c>
      <c r="G30" s="190">
        <v>520</v>
      </c>
      <c r="H30" s="190">
        <v>374.5</v>
      </c>
      <c r="I30" s="170">
        <v>3.2357999999999998</v>
      </c>
      <c r="J30" s="190">
        <v>64.594090909090909</v>
      </c>
      <c r="K30" s="201"/>
      <c r="L30" s="201"/>
      <c r="M30" s="201"/>
      <c r="N30" s="201"/>
      <c r="O30" s="201"/>
      <c r="P30" s="201"/>
      <c r="Q30" s="171">
        <f t="shared" si="108"/>
        <v>5.7142857142857141E-2</v>
      </c>
      <c r="R30" s="171">
        <f t="shared" si="109"/>
        <v>0</v>
      </c>
      <c r="S30" s="171">
        <f t="shared" si="110"/>
        <v>1.6282225237449117E-2</v>
      </c>
      <c r="T30" s="171">
        <f t="shared" si="111"/>
        <v>-4.6836337928596754E-2</v>
      </c>
      <c r="U30" s="171">
        <f t="shared" si="112"/>
        <v>0</v>
      </c>
      <c r="V30" s="171">
        <f t="shared" si="94"/>
        <v>0</v>
      </c>
      <c r="W30" s="171">
        <f t="shared" si="113"/>
        <v>0</v>
      </c>
      <c r="X30" s="172">
        <f t="shared" si="96"/>
        <v>5.7142857142857141E-2</v>
      </c>
      <c r="Y30" s="172">
        <f t="shared" si="97"/>
        <v>0.04</v>
      </c>
      <c r="Z30" s="172">
        <f t="shared" si="98"/>
        <v>9.3430656934306563E-2</v>
      </c>
      <c r="AA30" s="172">
        <f t="shared" si="99"/>
        <v>-0.1834561421217322</v>
      </c>
      <c r="AB30" s="172">
        <f t="shared" si="100"/>
        <v>4.502735615954815E-2</v>
      </c>
      <c r="AC30" s="172">
        <f t="shared" si="56"/>
        <v>2.7777777777777779E-3</v>
      </c>
      <c r="AD30" s="172">
        <f t="shared" si="74"/>
        <v>5.4878048780487805E-2</v>
      </c>
      <c r="AE30" s="172">
        <f t="shared" si="101"/>
        <v>0.26712328767123289</v>
      </c>
      <c r="AF30" s="172">
        <f t="shared" si="102"/>
        <v>0.26829268292682928</v>
      </c>
      <c r="AG30" s="172">
        <f t="shared" si="103"/>
        <v>3.310344827586207E-2</v>
      </c>
      <c r="AH30" s="172">
        <f t="shared" si="104"/>
        <v>-0.19870239215492053</v>
      </c>
      <c r="AI30" s="172">
        <f t="shared" si="105"/>
        <v>-0.17392430695756875</v>
      </c>
      <c r="AJ30" s="172">
        <f t="shared" si="62"/>
        <v>0.19933554817275748</v>
      </c>
      <c r="AK30" s="172">
        <f t="shared" si="79"/>
        <v>0.25362318840579712</v>
      </c>
      <c r="AN30" s="131"/>
      <c r="AO30" s="131"/>
      <c r="BC30" s="136"/>
      <c r="BD30" s="154"/>
    </row>
    <row r="31" spans="1:56" x14ac:dyDescent="0.3">
      <c r="A31" s="169">
        <v>46031</v>
      </c>
      <c r="B31" s="159">
        <f t="shared" si="106"/>
        <v>2026</v>
      </c>
      <c r="C31" s="159">
        <f t="shared" si="107"/>
        <v>1</v>
      </c>
      <c r="D31" s="190">
        <f>AVERAGEIFS(data!G:G,data!A:A,'weekly-forecast'!B31,data!B:B,'weekly-forecast'!C31)</f>
        <v>361</v>
      </c>
      <c r="E31" s="190">
        <f>AVERAGEIFS(data!F:F,data!A:A,'weekly-forecast'!B31,data!B:B,'weekly-forecast'!C31)</f>
        <v>346</v>
      </c>
      <c r="F31" s="190">
        <v>262.5</v>
      </c>
      <c r="G31" s="190">
        <v>520</v>
      </c>
      <c r="H31" s="190">
        <v>368.5</v>
      </c>
      <c r="I31" s="170">
        <v>3.3948</v>
      </c>
      <c r="J31" s="190">
        <v>64.594090909090909</v>
      </c>
      <c r="K31" s="201"/>
      <c r="L31" s="201"/>
      <c r="M31" s="201"/>
      <c r="N31" s="201"/>
      <c r="O31" s="201"/>
      <c r="P31" s="201"/>
      <c r="Q31" s="171">
        <f t="shared" si="108"/>
        <v>0</v>
      </c>
      <c r="R31" s="171">
        <f t="shared" si="109"/>
        <v>0</v>
      </c>
      <c r="S31" s="171">
        <f t="shared" si="110"/>
        <v>3.8028169014084505E-2</v>
      </c>
      <c r="T31" s="171">
        <f t="shared" si="111"/>
        <v>-0.14933283217440335</v>
      </c>
      <c r="U31" s="171">
        <f t="shared" si="112"/>
        <v>0</v>
      </c>
      <c r="V31" s="171">
        <f t="shared" si="94"/>
        <v>0</v>
      </c>
      <c r="W31" s="171">
        <f t="shared" si="113"/>
        <v>0</v>
      </c>
      <c r="X31" s="172">
        <f t="shared" si="96"/>
        <v>2.9411764705882353E-2</v>
      </c>
      <c r="Y31" s="172">
        <f t="shared" si="97"/>
        <v>0.04</v>
      </c>
      <c r="Z31" s="172">
        <f t="shared" si="98"/>
        <v>8.38235294117647E-2</v>
      </c>
      <c r="AA31" s="172">
        <f t="shared" si="99"/>
        <v>-0.24307692307692313</v>
      </c>
      <c r="AB31" s="172">
        <f t="shared" si="100"/>
        <v>4.502735615954815E-2</v>
      </c>
      <c r="AC31" s="172">
        <f t="shared" si="56"/>
        <v>2.7777777777777779E-3</v>
      </c>
      <c r="AD31" s="172">
        <f t="shared" si="74"/>
        <v>5.4878048780487805E-2</v>
      </c>
      <c r="AE31" s="172">
        <f t="shared" si="101"/>
        <v>0.19863013698630136</v>
      </c>
      <c r="AF31" s="172">
        <f t="shared" si="102"/>
        <v>0.26829268292682928</v>
      </c>
      <c r="AG31" s="172">
        <f t="shared" si="103"/>
        <v>0.16062992125984252</v>
      </c>
      <c r="AH31" s="172">
        <f t="shared" si="104"/>
        <v>-8.0597985050373758E-2</v>
      </c>
      <c r="AI31" s="172">
        <f t="shared" si="105"/>
        <v>-0.17392430695756875</v>
      </c>
      <c r="AJ31" s="172">
        <f t="shared" si="62"/>
        <v>0.19933554817275748</v>
      </c>
      <c r="AK31" s="172">
        <f t="shared" si="79"/>
        <v>0.25362318840579712</v>
      </c>
      <c r="AM31" t="s">
        <v>4</v>
      </c>
      <c r="AN31" s="131">
        <f xml:space="preserve"> 0.280558110643*D25 + 0.15041224611*D28 - 0.188812610795*G22 + 0.259276330013*G23 + 0.249001945549*F22 - 0.0911542671384*F23- 11.8844751787*I22+ 5.64643067713*I23 + 0.185696475006*H22 + 0.247343345212*H23 - 3.75210437468</f>
        <v>482.02343015794048</v>
      </c>
      <c r="AO31" s="131">
        <f>0.280558110643*D22+0.15041224611*D21-0.188812610795*G22+0.259276330013*G21+0.249001945549*F22-0.0911542671384*F21-11.8844751787*I22+5.64643067713*I21+ 0.185696475006*H21+ 0.247343345212*H22 - 3.75210437468</f>
        <v>558.41052872581406</v>
      </c>
      <c r="AP31" s="131">
        <f>0.280558110643*D21+0.15041224611*D20-0.188812610795*G21+0.259276330013*G20+0.249001945549*F21-0.0911542671384*F20-11.8844751787*I21+5.64643067713*I20+ 0.185696475006*H20+ 0.247343345212*H21 - 3.75210437468</f>
        <v>596.4895537073304</v>
      </c>
      <c r="AQ31" s="131">
        <f>0.280558110643*D20+0.15041224611*D19-0.188812610795*G20+0.259276330013*G19+0.249001945549*F20-0.0911542671384*F19-11.8844751787*I20+5.64643067713*I19+ 0.185696475006*H19+ 0.247343345212*H20 - 3.75210437468</f>
        <v>631.96542690341778</v>
      </c>
      <c r="AR31" s="131">
        <f>0.280558110643*D19+0.15041224611*D18-0.188812610795*G19+0.259276330013*G18+0.249001945549*F19-0.0911542671384*F18-11.8844751787*I19+5.64643067713*I18+ 0.185696475006*H18+ 0.247343345212*H19 - 3.75210437468</f>
        <v>659.32410644692334</v>
      </c>
      <c r="AS31" s="131">
        <f>0.280558110643*D18+0.15041224611*D17-0.188812610795*G18+0.259276330013*G17+0.249001945549*F18-0.0911542671384*F17-11.8844751787*I18+5.64643067713*I17+ 0.185696475006*H17+ 0.247343345212*H18 - 3.75210437468</f>
        <v>684.35683872821107</v>
      </c>
      <c r="AT31" s="131">
        <f>0.280558110643*D17+0.15041224611*D16-0.188812610795*G17+0.259276330013*G16+0.249001945549*F17-0.0911542671384*F16-11.8844751787*I17+5.64643067713*I16+ 0.185696475006*H16+ 0.247343345212*H17 - 3.75210437468</f>
        <v>709.17085941220409</v>
      </c>
      <c r="AU31" s="131">
        <f>0.280558110643*D16+0.15041224611*D15-0.188812610795*G16+0.259276330013*G15+0.249001945549*F16-0.0911542671384*F15-11.8844751787*I16+5.64643067713*I15+ 0.185696475006*H15+ 0.247343345212*H16 - 3.75210437468</f>
        <v>748.10893270288727</v>
      </c>
      <c r="AV31" s="131">
        <f>0.280558110643*D15+0.15041224611*D14-0.188812610795*G15+0.259276330013*G14+0.249001945549*F15-0.0911542671384*F14-11.8844751787*I15+5.64643067713*I14+ 0.185696475006*H14+ 0.247343345212*H15 - 3.75210437468</f>
        <v>731.26444817201775</v>
      </c>
      <c r="AW31" s="131">
        <f>0.280558110643*D14+0.15041224611*D13-0.188812610795*G14+0.259276330013*G13+0.249001945549*F14-0.0911542671384*F13-11.8844751787*I14+5.64643067713*I13+ 0.185696475006*H13+ 0.247343345212*H14 - 3.75210437468</f>
        <v>704.79138741959275</v>
      </c>
      <c r="AX31" s="131">
        <f>0.280558110643*D13+0.15041224611*D12-0.188812610795*G13+0.259276330013*G12+0.249001945549*F13-0.0911542671384*F12-11.8844751787*I13+5.64643067713*I12+ 0.185696475006*H12+ 0.247343345212*H13 - 3.75210437468</f>
        <v>681.96865497636338</v>
      </c>
      <c r="AY31" s="131">
        <f>0.280558110643*D12+0.15041224611*D11-0.188812610795*G12+0.259276330013*G11+0.249001945549*F12-0.0911542671384*F11-11.8844751787*I12+5.64643067713*I11+ 0.185696475006*H11+ 0.247343345212*H12 - 3.75210437468</f>
        <v>667.58920433258857</v>
      </c>
      <c r="AZ31" s="136">
        <f>0.280558110643*D11+0.15041224611*D10-0.188812610795*G12+0.259276330013*G11+0.249001945549*F12-0.0911542671384*F11-11.8844751787*I11+5.64643067713*I10+ 0.185696475006*H11+ 0.247343345212*H12 - 3.75210437468</f>
        <v>654.55464396962509</v>
      </c>
      <c r="BA31" s="136">
        <f>0.280558110643*D10+0.15041224611*D9-0.188812610795*G12+0.259276330013*G11+0.249001945549*F12-0.0911542671384*F11-11.8844751787*I11+5.64643067713*I10+ 0.185696475006*H11+ 0.247343345212*H12 - 3.75210437468</f>
        <v>637.9873629774138</v>
      </c>
      <c r="BB31" s="136">
        <f>0.280558110643*D9+0.15041224611*D8-0.188812610795*G12+0.259276330013*G11+0.249001945549*F12-0.0911542671384*F11-11.8844751787*I11+5.64643067713*I10+ 0.185696475006*H11+ 0.247343345212*H12 - 3.75210437468</f>
        <v>620.86618789010481</v>
      </c>
      <c r="BC31" s="136"/>
      <c r="BD31" s="154"/>
    </row>
    <row r="32" spans="1:56" x14ac:dyDescent="0.3">
      <c r="A32" s="169">
        <v>46024</v>
      </c>
      <c r="B32" s="159">
        <f t="shared" si="106"/>
        <v>2026</v>
      </c>
      <c r="C32" s="159">
        <f t="shared" si="107"/>
        <v>1</v>
      </c>
      <c r="D32" s="190">
        <f>AVERAGEIFS(data!G:G,data!A:A,'weekly-forecast'!B32,data!B:B,'weekly-forecast'!C32)</f>
        <v>361</v>
      </c>
      <c r="E32" s="190">
        <f>AVERAGEIFS(data!F:F,data!A:A,'weekly-forecast'!B32,data!B:B,'weekly-forecast'!C32)</f>
        <v>346</v>
      </c>
      <c r="F32" s="190">
        <v>262.5</v>
      </c>
      <c r="G32" s="190">
        <v>520</v>
      </c>
      <c r="H32" s="190">
        <v>355</v>
      </c>
      <c r="I32" s="170">
        <v>3.9907500000000002</v>
      </c>
      <c r="J32" s="190">
        <v>64.594090909090909</v>
      </c>
      <c r="K32" s="202"/>
      <c r="L32" s="202"/>
      <c r="M32" s="202"/>
      <c r="N32" s="202"/>
      <c r="O32" s="202"/>
      <c r="P32" s="202"/>
      <c r="Q32" s="171">
        <f t="shared" si="108"/>
        <v>0</v>
      </c>
      <c r="R32" s="171">
        <f t="shared" si="109"/>
        <v>0.04</v>
      </c>
      <c r="S32" s="171">
        <f t="shared" si="110"/>
        <v>3.6496350364963501E-2</v>
      </c>
      <c r="T32" s="171">
        <f t="shared" si="111"/>
        <v>-5.9949355161651292E-2</v>
      </c>
      <c r="U32" s="171">
        <f>(J32-J33)/J33</f>
        <v>4.502735615954815E-2</v>
      </c>
      <c r="V32" s="171">
        <f t="shared" si="94"/>
        <v>2.7777777777777779E-3</v>
      </c>
      <c r="W32" s="171">
        <f t="shared" si="113"/>
        <v>5.4878048780487805E-2</v>
      </c>
      <c r="X32" s="172">
        <f t="shared" si="96"/>
        <v>2.9411764705882353E-2</v>
      </c>
      <c r="Y32" s="172">
        <f t="shared" si="97"/>
        <v>6.6666666666666666E-2</v>
      </c>
      <c r="Z32" s="172">
        <f t="shared" si="98"/>
        <v>-1.3888888888888888E-2</v>
      </c>
      <c r="AA32" s="172">
        <f t="shared" si="99"/>
        <v>-0.20528317667675641</v>
      </c>
      <c r="AB32" s="172">
        <f t="shared" si="100"/>
        <v>4.502735615954815E-2</v>
      </c>
      <c r="AC32" s="172">
        <f t="shared" si="56"/>
        <v>2.7777777777777779E-3</v>
      </c>
      <c r="AD32" s="172">
        <f t="shared" si="74"/>
        <v>5.4878048780487805E-2</v>
      </c>
      <c r="AE32" s="172">
        <f t="shared" si="101"/>
        <v>0.19863013698630136</v>
      </c>
      <c r="AF32" s="172">
        <f t="shared" si="102"/>
        <v>0.26829268292682928</v>
      </c>
      <c r="AG32" s="172">
        <f t="shared" si="103"/>
        <v>0.11811023622047244</v>
      </c>
      <c r="AH32" s="172">
        <f t="shared" si="104"/>
        <v>9.4630734416786724E-2</v>
      </c>
      <c r="AI32" s="172">
        <f t="shared" si="105"/>
        <v>-0.17392430695756875</v>
      </c>
      <c r="AJ32" s="172">
        <f t="shared" si="62"/>
        <v>0.19933554817275748</v>
      </c>
      <c r="AK32" s="172">
        <f t="shared" si="79"/>
        <v>0.25362318840579712</v>
      </c>
      <c r="AN32" s="131"/>
      <c r="AO32" s="131">
        <f>AO31-AN31</f>
        <v>76.387098567873579</v>
      </c>
      <c r="AP32" s="131">
        <f t="shared" ref="AP32:AT32" si="129">AP31-AO31</f>
        <v>38.079024981516341</v>
      </c>
      <c r="AQ32" s="131">
        <f>AQ31-AP31</f>
        <v>35.475873196087377</v>
      </c>
      <c r="AR32" s="131">
        <f t="shared" si="129"/>
        <v>27.358679543505559</v>
      </c>
      <c r="AS32" s="131">
        <f>AS31-AR31</f>
        <v>25.032732281287736</v>
      </c>
      <c r="AT32" s="131">
        <f t="shared" si="129"/>
        <v>24.814020683993022</v>
      </c>
      <c r="AU32" s="131">
        <f t="shared" ref="AU32" si="130">AU31-AT31</f>
        <v>38.938073290683178</v>
      </c>
      <c r="AV32" s="131">
        <f t="shared" ref="AV32" si="131">AV31-AU31</f>
        <v>-16.844484530869522</v>
      </c>
      <c r="AW32" s="131">
        <f t="shared" ref="AW32" si="132">AW31-AV31</f>
        <v>-26.473060752424999</v>
      </c>
      <c r="AX32" s="131">
        <f t="shared" ref="AX32" si="133">AX31-AW31</f>
        <v>-22.82273244322937</v>
      </c>
      <c r="AY32" s="131">
        <f t="shared" ref="AY32" si="134">AY31-AX31</f>
        <v>-14.379450643774817</v>
      </c>
      <c r="AZ32" s="131">
        <f t="shared" ref="AZ32" si="135">AZ31-AY31</f>
        <v>-13.034560362963475</v>
      </c>
      <c r="BB32" s="136"/>
    </row>
    <row r="33" spans="1:49" x14ac:dyDescent="0.3">
      <c r="A33" s="169">
        <v>46017</v>
      </c>
      <c r="B33" s="159">
        <f t="shared" si="106"/>
        <v>2025</v>
      </c>
      <c r="C33" s="159">
        <f t="shared" si="107"/>
        <v>12</v>
      </c>
      <c r="D33" s="190">
        <f>AVERAGEIFS(data!G:G,data!A:A,'weekly-forecast'!B33,data!B:B,'weekly-forecast'!C33)</f>
        <v>360</v>
      </c>
      <c r="E33" s="190">
        <f>AVERAGEIFS(data!F:F,data!A:A,'weekly-forecast'!B33,data!B:B,'weekly-forecast'!C33)</f>
        <v>328</v>
      </c>
      <c r="F33" s="190">
        <v>262.5</v>
      </c>
      <c r="G33" s="190">
        <v>500</v>
      </c>
      <c r="H33" s="190">
        <v>342.5</v>
      </c>
      <c r="I33" s="170">
        <v>4.2452500000000004</v>
      </c>
      <c r="J33" s="190">
        <v>61.810909090909092</v>
      </c>
      <c r="K33" s="200">
        <f>AVERAGE(D33:D36)</f>
        <v>360</v>
      </c>
      <c r="L33" s="200">
        <f t="shared" ref="L33:P33" si="136">AVERAGE(E33:E36)</f>
        <v>328</v>
      </c>
      <c r="M33" s="200">
        <f t="shared" si="136"/>
        <v>258.75</v>
      </c>
      <c r="N33" s="200">
        <f t="shared" si="136"/>
        <v>496.875</v>
      </c>
      <c r="O33" s="200">
        <f t="shared" si="136"/>
        <v>346.25</v>
      </c>
      <c r="P33" s="200">
        <f t="shared" si="136"/>
        <v>4.4286624999999997</v>
      </c>
      <c r="Q33" s="171">
        <f t="shared" si="108"/>
        <v>0</v>
      </c>
      <c r="R33" s="171">
        <f t="shared" si="109"/>
        <v>0</v>
      </c>
      <c r="S33" s="171">
        <f t="shared" si="110"/>
        <v>0</v>
      </c>
      <c r="T33" s="171">
        <f t="shared" si="111"/>
        <v>7.1275360855960507E-2</v>
      </c>
      <c r="U33" s="171">
        <f t="shared" si="112"/>
        <v>0</v>
      </c>
      <c r="V33" s="171">
        <f t="shared" si="94"/>
        <v>0</v>
      </c>
      <c r="W33" s="171">
        <f t="shared" si="113"/>
        <v>0</v>
      </c>
      <c r="X33" s="172">
        <f t="shared" si="96"/>
        <v>2.9411764705882353E-2</v>
      </c>
      <c r="Y33" s="172">
        <f t="shared" si="97"/>
        <v>5.2631578947368418E-2</v>
      </c>
      <c r="Z33" s="172">
        <f t="shared" si="98"/>
        <v>-5.647382920110193E-2</v>
      </c>
      <c r="AA33" s="172">
        <f t="shared" si="99"/>
        <v>-7.6165605788585958E-2</v>
      </c>
      <c r="AB33" s="172">
        <f t="shared" si="100"/>
        <v>-2.9557033434980146E-2</v>
      </c>
      <c r="AC33" s="172">
        <f t="shared" si="56"/>
        <v>0</v>
      </c>
      <c r="AD33" s="172">
        <f t="shared" si="74"/>
        <v>0</v>
      </c>
      <c r="AE33" s="172">
        <f t="shared" si="101"/>
        <v>0.19863013698630136</v>
      </c>
      <c r="AF33" s="172">
        <f t="shared" si="102"/>
        <v>0.21951219512195122</v>
      </c>
      <c r="AG33" s="172">
        <f t="shared" si="103"/>
        <v>7.874015748031496E-2</v>
      </c>
      <c r="AH33" s="172">
        <f t="shared" si="104"/>
        <v>0.14496662396332022</v>
      </c>
      <c r="AI33" s="172">
        <f t="shared" si="105"/>
        <v>-0.15590840528612473</v>
      </c>
      <c r="AJ33" s="172">
        <f t="shared" si="62"/>
        <v>0.33333333333333331</v>
      </c>
      <c r="AK33" s="172">
        <f t="shared" si="79"/>
        <v>0.34426229508196721</v>
      </c>
      <c r="AN33" s="131"/>
      <c r="AO33" s="131">
        <f t="shared" ref="AO33:AQ33" si="137">AO31-AO27</f>
        <v>47.41945821610517</v>
      </c>
      <c r="AP33" s="131">
        <f t="shared" si="137"/>
        <v>92.84037644251606</v>
      </c>
      <c r="AQ33" s="131">
        <f t="shared" si="137"/>
        <v>61.240001661849647</v>
      </c>
      <c r="AR33" s="131">
        <f>AR31-AR27</f>
        <v>102.78292932840918</v>
      </c>
      <c r="AS33" s="131">
        <f>AS31-AS27</f>
        <v>106.61192483087495</v>
      </c>
      <c r="AT33" s="131"/>
    </row>
    <row r="34" spans="1:49" x14ac:dyDescent="0.3">
      <c r="A34" s="169">
        <v>46010</v>
      </c>
      <c r="B34" s="159">
        <f t="shared" si="106"/>
        <v>2025</v>
      </c>
      <c r="C34" s="159">
        <f t="shared" si="107"/>
        <v>12</v>
      </c>
      <c r="D34" s="190">
        <f>AVERAGEIFS(data!G:G,data!A:A,'weekly-forecast'!B34,data!B:B,'weekly-forecast'!C34)</f>
        <v>360</v>
      </c>
      <c r="E34" s="190">
        <f>AVERAGEIFS(data!F:F,data!A:A,'weekly-forecast'!B34,data!B:B,'weekly-forecast'!C34)</f>
        <v>328</v>
      </c>
      <c r="F34" s="190">
        <v>262.5</v>
      </c>
      <c r="G34" s="190">
        <v>500</v>
      </c>
      <c r="H34" s="190">
        <v>342.5</v>
      </c>
      <c r="I34" s="170">
        <v>3.9628000000000001</v>
      </c>
      <c r="J34" s="190">
        <v>61.810909090909092</v>
      </c>
      <c r="K34" s="201"/>
      <c r="L34" s="201"/>
      <c r="M34" s="201"/>
      <c r="N34" s="201"/>
      <c r="O34" s="201"/>
      <c r="P34" s="201"/>
      <c r="Q34" s="171">
        <f t="shared" si="108"/>
        <v>2.9411764705882353E-2</v>
      </c>
      <c r="R34" s="171">
        <f t="shared" si="109"/>
        <v>0</v>
      </c>
      <c r="S34" s="171">
        <f t="shared" si="110"/>
        <v>7.3529411764705881E-3</v>
      </c>
      <c r="T34" s="171">
        <f t="shared" si="111"/>
        <v>-0.11643255295429213</v>
      </c>
      <c r="U34" s="171">
        <f t="shared" si="112"/>
        <v>0</v>
      </c>
      <c r="V34" s="171">
        <f t="shared" si="94"/>
        <v>0</v>
      </c>
      <c r="W34" s="171">
        <f t="shared" si="113"/>
        <v>0</v>
      </c>
      <c r="X34" s="172">
        <f t="shared" si="96"/>
        <v>8.247422680412371E-2</v>
      </c>
      <c r="Y34" s="172">
        <f t="shared" si="97"/>
        <v>6.3829787234042548E-2</v>
      </c>
      <c r="Z34" s="172">
        <f t="shared" si="98"/>
        <v>-5.647382920110193E-2</v>
      </c>
      <c r="AA34" s="172">
        <f t="shared" si="99"/>
        <v>-0.1129118911174785</v>
      </c>
      <c r="AB34" s="172">
        <f t="shared" si="100"/>
        <v>-2.9557033434980146E-2</v>
      </c>
      <c r="AC34" s="172">
        <f t="shared" si="56"/>
        <v>0</v>
      </c>
      <c r="AD34" s="172">
        <f t="shared" ref="AD34" si="138">(E34-E38)/E38</f>
        <v>0</v>
      </c>
      <c r="AE34" s="172">
        <f t="shared" si="101"/>
        <v>0.19863013698630136</v>
      </c>
      <c r="AF34" s="172">
        <f t="shared" si="102"/>
        <v>0.21951219512195122</v>
      </c>
      <c r="AG34" s="172">
        <f t="shared" si="103"/>
        <v>7.874015748031496E-2</v>
      </c>
      <c r="AH34" s="172">
        <f t="shared" si="104"/>
        <v>0.15010448107731594</v>
      </c>
      <c r="AI34" s="172">
        <f t="shared" si="105"/>
        <v>-0.15590840528612473</v>
      </c>
      <c r="AJ34" s="172">
        <f t="shared" si="62"/>
        <v>0.33333333333333331</v>
      </c>
      <c r="AK34" s="172">
        <f t="shared" ref="AK34" si="139">(E34-E86)/E86</f>
        <v>0.34426229508196721</v>
      </c>
      <c r="AN34" s="136"/>
      <c r="AO34" s="136"/>
      <c r="AP34" s="136"/>
      <c r="AQ34" s="136"/>
    </row>
    <row r="35" spans="1:49" x14ac:dyDescent="0.3">
      <c r="A35" s="169">
        <v>46003</v>
      </c>
      <c r="B35" s="159">
        <f t="shared" si="106"/>
        <v>2025</v>
      </c>
      <c r="C35" s="159">
        <f t="shared" si="107"/>
        <v>12</v>
      </c>
      <c r="D35" s="190">
        <f>AVERAGEIFS(data!G:G,data!A:A,'weekly-forecast'!B35,data!B:B,'weekly-forecast'!C35)</f>
        <v>360</v>
      </c>
      <c r="E35" s="190">
        <f>AVERAGEIFS(data!F:F,data!A:A,'weekly-forecast'!B35,data!B:B,'weekly-forecast'!C35)</f>
        <v>328</v>
      </c>
      <c r="F35" s="190">
        <v>255</v>
      </c>
      <c r="G35" s="190">
        <v>500</v>
      </c>
      <c r="H35" s="190">
        <v>340</v>
      </c>
      <c r="I35" s="170">
        <v>4.4850000000000003</v>
      </c>
      <c r="J35" s="190">
        <v>61.810909090909092</v>
      </c>
      <c r="K35" s="201"/>
      <c r="L35" s="201"/>
      <c r="M35" s="201"/>
      <c r="N35" s="201"/>
      <c r="O35" s="201"/>
      <c r="P35" s="201"/>
      <c r="Q35" s="171">
        <f t="shared" si="108"/>
        <v>0</v>
      </c>
      <c r="R35" s="171">
        <f t="shared" si="109"/>
        <v>2.564102564102564E-2</v>
      </c>
      <c r="S35" s="171">
        <f t="shared" si="110"/>
        <v>-5.5555555555555552E-2</v>
      </c>
      <c r="T35" s="171">
        <f t="shared" si="111"/>
        <v>-0.10685837183367849</v>
      </c>
      <c r="U35" s="171">
        <f t="shared" si="112"/>
        <v>0</v>
      </c>
      <c r="V35" s="171">
        <f t="shared" si="94"/>
        <v>0</v>
      </c>
      <c r="W35" s="171">
        <f t="shared" si="113"/>
        <v>0</v>
      </c>
      <c r="X35" s="172">
        <f t="shared" si="96"/>
        <v>5.1546391752577317E-2</v>
      </c>
      <c r="Y35" s="172">
        <f t="shared" si="97"/>
        <v>0.17647058823529413</v>
      </c>
      <c r="Z35" s="172">
        <f t="shared" si="98"/>
        <v>-8.7248322147651006E-2</v>
      </c>
      <c r="AA35" s="172">
        <f t="shared" si="99"/>
        <v>-9.8463440480395549E-3</v>
      </c>
      <c r="AB35" s="172">
        <f t="shared" si="100"/>
        <v>-2.9557033434980146E-2</v>
      </c>
      <c r="AC35" s="172">
        <f t="shared" si="56"/>
        <v>0</v>
      </c>
      <c r="AD35" s="172">
        <f t="shared" ref="AD35" si="140">(E35-E39)/E39</f>
        <v>0</v>
      </c>
      <c r="AE35" s="172">
        <f t="shared" si="101"/>
        <v>0.15909090909090909</v>
      </c>
      <c r="AF35" s="172">
        <f t="shared" si="102"/>
        <v>0.21951219512195122</v>
      </c>
      <c r="AG35" s="172">
        <f t="shared" si="103"/>
        <v>0.10569105691056911</v>
      </c>
      <c r="AH35" s="172">
        <f t="shared" si="104"/>
        <v>0.36255924170616127</v>
      </c>
      <c r="AI35" s="172">
        <f t="shared" si="105"/>
        <v>-0.15590840528612473</v>
      </c>
      <c r="AJ35" s="172">
        <f t="shared" si="62"/>
        <v>0.33333333333333331</v>
      </c>
      <c r="AK35" s="172">
        <f t="shared" ref="AK35" si="141">(E35-E87)/E87</f>
        <v>0.34426229508196721</v>
      </c>
      <c r="AM35" s="197" t="s">
        <v>85</v>
      </c>
      <c r="AN35" s="197"/>
      <c r="AO35" s="197"/>
      <c r="AP35" s="197"/>
      <c r="AQ35" s="197"/>
      <c r="AR35" s="197"/>
      <c r="AS35" s="197"/>
      <c r="AT35" s="197"/>
      <c r="AU35" s="197"/>
      <c r="AV35" s="197"/>
      <c r="AW35" s="197"/>
    </row>
    <row r="36" spans="1:49" x14ac:dyDescent="0.3">
      <c r="A36" s="169">
        <v>45996</v>
      </c>
      <c r="B36" s="159">
        <f t="shared" si="106"/>
        <v>2025</v>
      </c>
      <c r="C36" s="159">
        <f t="shared" si="107"/>
        <v>12</v>
      </c>
      <c r="D36" s="190">
        <f>AVERAGEIFS(data!G:G,data!A:A,'weekly-forecast'!B36,data!B:B,'weekly-forecast'!C36)</f>
        <v>360</v>
      </c>
      <c r="E36" s="190">
        <f>AVERAGEIFS(data!F:F,data!A:A,'weekly-forecast'!B36,data!B:B,'weekly-forecast'!C36)</f>
        <v>328</v>
      </c>
      <c r="F36" s="190">
        <v>255</v>
      </c>
      <c r="G36" s="190">
        <v>487.5</v>
      </c>
      <c r="H36" s="190">
        <v>360</v>
      </c>
      <c r="I36" s="170">
        <v>5.0216000000000003</v>
      </c>
      <c r="J36" s="190">
        <v>61.810909090909092</v>
      </c>
      <c r="K36" s="202"/>
      <c r="L36" s="202"/>
      <c r="M36" s="202"/>
      <c r="N36" s="202"/>
      <c r="O36" s="202"/>
      <c r="P36" s="202"/>
      <c r="Q36" s="171">
        <f t="shared" si="108"/>
        <v>0</v>
      </c>
      <c r="R36" s="171">
        <f t="shared" si="109"/>
        <v>2.6315789473684209E-2</v>
      </c>
      <c r="S36" s="171">
        <f t="shared" si="110"/>
        <v>-8.2644628099173556E-3</v>
      </c>
      <c r="T36" s="171">
        <f t="shared" si="111"/>
        <v>9.2780588651324783E-2</v>
      </c>
      <c r="U36" s="171">
        <f t="shared" si="112"/>
        <v>-2.9557033434980146E-2</v>
      </c>
      <c r="V36" s="171">
        <f t="shared" si="94"/>
        <v>0</v>
      </c>
      <c r="W36" s="171">
        <f t="shared" si="113"/>
        <v>0</v>
      </c>
      <c r="X36" s="172">
        <f t="shared" si="96"/>
        <v>0.02</v>
      </c>
      <c r="Y36" s="172">
        <f t="shared" si="97"/>
        <v>0.14705882352941177</v>
      </c>
      <c r="Z36" s="172">
        <f t="shared" si="98"/>
        <v>-3.3557046979865772E-2</v>
      </c>
      <c r="AA36" s="172">
        <f t="shared" si="99"/>
        <v>0.16710826012178689</v>
      </c>
      <c r="AB36" s="172">
        <f t="shared" si="100"/>
        <v>-2.9557033434980146E-2</v>
      </c>
      <c r="AC36" s="172">
        <f t="shared" si="56"/>
        <v>0</v>
      </c>
      <c r="AD36" s="172">
        <f t="shared" ref="AD36" si="142">(E36-E40)/E40</f>
        <v>0</v>
      </c>
      <c r="AE36" s="172">
        <f t="shared" si="101"/>
        <v>0.14606741573033707</v>
      </c>
      <c r="AF36" s="172">
        <f t="shared" si="102"/>
        <v>0.13372093023255813</v>
      </c>
      <c r="AG36" s="172">
        <f t="shared" si="103"/>
        <v>0.17073170731707318</v>
      </c>
      <c r="AH36" s="172">
        <f t="shared" si="104"/>
        <v>0.62479777389503677</v>
      </c>
      <c r="AI36" s="172">
        <f t="shared" si="105"/>
        <v>-0.15590840528612473</v>
      </c>
      <c r="AJ36" s="172">
        <f t="shared" si="62"/>
        <v>0.33333333333333331</v>
      </c>
      <c r="AK36" s="172">
        <f t="shared" ref="AK36" si="143">(E36-E88)/E88</f>
        <v>0.34426229508196721</v>
      </c>
      <c r="AM36" s="197"/>
      <c r="AN36" s="197"/>
      <c r="AO36" s="197"/>
      <c r="AP36" s="197"/>
      <c r="AQ36" s="197"/>
      <c r="AR36" s="197"/>
      <c r="AS36" s="197"/>
      <c r="AT36" s="197"/>
      <c r="AU36" s="197"/>
      <c r="AV36" s="197"/>
      <c r="AW36" s="197"/>
    </row>
    <row r="37" spans="1:49" x14ac:dyDescent="0.3">
      <c r="A37" s="169">
        <v>45989</v>
      </c>
      <c r="B37" s="159">
        <f t="shared" si="106"/>
        <v>2025</v>
      </c>
      <c r="C37" s="159">
        <f t="shared" si="107"/>
        <v>11</v>
      </c>
      <c r="D37" s="190">
        <f>AVERAGEIFS(data!G:G,data!A:A,'weekly-forecast'!B37,data!B:B,'weekly-forecast'!C37)</f>
        <v>360</v>
      </c>
      <c r="E37" s="190">
        <f>AVERAGEIFS(data!F:F,data!A:A,'weekly-forecast'!B37,data!B:B,'weekly-forecast'!C37)</f>
        <v>328</v>
      </c>
      <c r="F37" s="190">
        <v>255</v>
      </c>
      <c r="G37" s="190">
        <v>475</v>
      </c>
      <c r="H37" s="190">
        <v>363</v>
      </c>
      <c r="I37" s="170">
        <v>4.5952500000000001</v>
      </c>
      <c r="J37" s="190">
        <v>63.6935</v>
      </c>
      <c r="K37" s="200">
        <f>AVERAGE(D37:D40)</f>
        <v>360</v>
      </c>
      <c r="L37" s="200">
        <f t="shared" ref="L37:P37" si="144">AVERAGE(E37:E40)</f>
        <v>328</v>
      </c>
      <c r="M37" s="200">
        <f t="shared" si="144"/>
        <v>247.5</v>
      </c>
      <c r="N37" s="200">
        <f t="shared" si="144"/>
        <v>448.75</v>
      </c>
      <c r="O37" s="200">
        <f t="shared" si="144"/>
        <v>367.75</v>
      </c>
      <c r="P37" s="200">
        <f t="shared" si="144"/>
        <v>4.4736624999999997</v>
      </c>
      <c r="Q37" s="171">
        <f t="shared" si="108"/>
        <v>5.1546391752577317E-2</v>
      </c>
      <c r="R37" s="171">
        <f t="shared" si="109"/>
        <v>1.0638297872340425E-2</v>
      </c>
      <c r="S37" s="171">
        <f t="shared" si="110"/>
        <v>0</v>
      </c>
      <c r="T37" s="171">
        <f t="shared" si="111"/>
        <v>2.8664487822349569E-2</v>
      </c>
      <c r="U37" s="171">
        <f t="shared" si="112"/>
        <v>0</v>
      </c>
      <c r="V37" s="171">
        <f t="shared" si="94"/>
        <v>0</v>
      </c>
      <c r="W37" s="171">
        <f t="shared" si="113"/>
        <v>0</v>
      </c>
      <c r="X37" s="172">
        <f t="shared" si="96"/>
        <v>0.02</v>
      </c>
      <c r="Y37" s="172">
        <f t="shared" si="97"/>
        <v>0.11764705882352941</v>
      </c>
      <c r="Z37" s="172">
        <f t="shared" si="98"/>
        <v>-1.891891891891892E-2</v>
      </c>
      <c r="AA37" s="172">
        <f t="shared" si="99"/>
        <v>0.2594556816313105</v>
      </c>
      <c r="AB37" s="172">
        <f t="shared" si="100"/>
        <v>-4.4982569636511016E-3</v>
      </c>
      <c r="AC37" s="172">
        <f t="shared" si="56"/>
        <v>-0.12408759124087591</v>
      </c>
      <c r="AD37" s="172">
        <f t="shared" ref="AD37" si="145">(E37-E41)/E41</f>
        <v>-0.12533333333333332</v>
      </c>
      <c r="AE37" s="172">
        <f t="shared" si="101"/>
        <v>0.14606741573033707</v>
      </c>
      <c r="AF37" s="172">
        <f t="shared" si="102"/>
        <v>0.10465116279069768</v>
      </c>
      <c r="AG37" s="172">
        <f t="shared" si="103"/>
        <v>0.16159999999999999</v>
      </c>
      <c r="AH37" s="172">
        <f t="shared" si="104"/>
        <v>0.37510286526520531</v>
      </c>
      <c r="AI37" s="172">
        <f t="shared" si="105"/>
        <v>-0.13352281560945273</v>
      </c>
      <c r="AJ37" s="172">
        <f t="shared" si="62"/>
        <v>0.33333333333333331</v>
      </c>
      <c r="AK37" s="172">
        <f t="shared" ref="AK37" si="146">(E37-E89)/E89</f>
        <v>0.23773584905660378</v>
      </c>
      <c r="AM37" s="197"/>
      <c r="AN37" s="197"/>
      <c r="AO37" s="197"/>
      <c r="AP37" s="197"/>
      <c r="AQ37" s="197"/>
      <c r="AR37" s="197"/>
      <c r="AS37" s="197"/>
      <c r="AT37" s="197"/>
      <c r="AU37" s="197"/>
      <c r="AV37" s="197"/>
      <c r="AW37" s="197"/>
    </row>
    <row r="38" spans="1:49" x14ac:dyDescent="0.3">
      <c r="A38" s="169">
        <v>45982</v>
      </c>
      <c r="B38" s="159">
        <f t="shared" si="106"/>
        <v>2025</v>
      </c>
      <c r="C38" s="159">
        <f t="shared" si="107"/>
        <v>11</v>
      </c>
      <c r="D38" s="190">
        <f>AVERAGEIFS(data!G:G,data!A:A,'weekly-forecast'!B38,data!B:B,'weekly-forecast'!C38)</f>
        <v>360</v>
      </c>
      <c r="E38" s="190">
        <f>AVERAGEIFS(data!F:F,data!A:A,'weekly-forecast'!B38,data!B:B,'weekly-forecast'!C38)</f>
        <v>328</v>
      </c>
      <c r="F38" s="190">
        <v>242.5</v>
      </c>
      <c r="G38" s="190">
        <v>470</v>
      </c>
      <c r="H38" s="190">
        <v>363</v>
      </c>
      <c r="I38" s="170">
        <v>4.4672000000000001</v>
      </c>
      <c r="J38" s="190">
        <v>63.6935</v>
      </c>
      <c r="K38" s="201"/>
      <c r="L38" s="201"/>
      <c r="M38" s="201"/>
      <c r="N38" s="201"/>
      <c r="O38" s="201"/>
      <c r="P38" s="201"/>
      <c r="Q38" s="171">
        <f t="shared" si="108"/>
        <v>0</v>
      </c>
      <c r="R38" s="171">
        <f t="shared" si="109"/>
        <v>0.10588235294117647</v>
      </c>
      <c r="S38" s="171">
        <f t="shared" si="110"/>
        <v>-2.5503355704697986E-2</v>
      </c>
      <c r="T38" s="171">
        <f t="shared" si="111"/>
        <v>-1.3776050865418631E-2</v>
      </c>
      <c r="U38" s="171">
        <f t="shared" si="112"/>
        <v>0</v>
      </c>
      <c r="V38" s="171">
        <f t="shared" si="94"/>
        <v>0</v>
      </c>
      <c r="W38" s="171">
        <f t="shared" si="113"/>
        <v>0</v>
      </c>
      <c r="X38" s="172">
        <f t="shared" si="96"/>
        <v>-0.03</v>
      </c>
      <c r="Y38" s="172">
        <f t="shared" si="97"/>
        <v>0.1393939393939394</v>
      </c>
      <c r="Z38" s="172">
        <f t="shared" si="98"/>
        <v>2.9787234042553193E-2</v>
      </c>
      <c r="AA38" s="172">
        <f t="shared" si="99"/>
        <v>0.31628263303671417</v>
      </c>
      <c r="AB38" s="172">
        <f t="shared" si="100"/>
        <v>-4.4982569636511016E-3</v>
      </c>
      <c r="AC38" s="172">
        <f t="shared" si="56"/>
        <v>-0.12408759124087591</v>
      </c>
      <c r="AD38" s="172">
        <f t="shared" ref="AD38" si="147">(E38-E42)/E42</f>
        <v>-0.12533333333333332</v>
      </c>
      <c r="AE38" s="172">
        <f t="shared" si="101"/>
        <v>1.0416666666666666E-2</v>
      </c>
      <c r="AF38" s="172">
        <f t="shared" si="102"/>
        <v>9.3023255813953487E-2</v>
      </c>
      <c r="AG38" s="172">
        <f t="shared" si="103"/>
        <v>0.16159999999999999</v>
      </c>
      <c r="AH38" s="172">
        <f t="shared" si="104"/>
        <v>0.42886386898669426</v>
      </c>
      <c r="AI38" s="172">
        <f t="shared" si="105"/>
        <v>-0.13352281560945273</v>
      </c>
      <c r="AJ38" s="172">
        <f t="shared" si="62"/>
        <v>0.33333333333333331</v>
      </c>
      <c r="AK38" s="172">
        <f t="shared" ref="AK38" si="148">(E38-E90)/E90</f>
        <v>0.23773584905660378</v>
      </c>
      <c r="AM38" s="197"/>
      <c r="AN38" s="197"/>
      <c r="AO38" s="197"/>
      <c r="AP38" s="197"/>
      <c r="AQ38" s="197"/>
      <c r="AR38" s="197"/>
      <c r="AS38" s="197"/>
      <c r="AT38" s="197"/>
      <c r="AU38" s="197"/>
      <c r="AV38" s="197"/>
      <c r="AW38" s="197"/>
    </row>
    <row r="39" spans="1:49" x14ac:dyDescent="0.3">
      <c r="A39" s="169">
        <v>45975</v>
      </c>
      <c r="B39" s="159">
        <f t="shared" si="106"/>
        <v>2025</v>
      </c>
      <c r="C39" s="159">
        <f t="shared" si="107"/>
        <v>11</v>
      </c>
      <c r="D39" s="190">
        <f>AVERAGEIFS(data!G:G,data!A:A,'weekly-forecast'!B39,data!B:B,'weekly-forecast'!C39)</f>
        <v>360</v>
      </c>
      <c r="E39" s="190">
        <f>AVERAGEIFS(data!F:F,data!A:A,'weekly-forecast'!B39,data!B:B,'weekly-forecast'!C39)</f>
        <v>328</v>
      </c>
      <c r="F39" s="190">
        <v>242.5</v>
      </c>
      <c r="G39" s="190">
        <v>425</v>
      </c>
      <c r="H39" s="190">
        <v>372.5</v>
      </c>
      <c r="I39" s="170">
        <v>4.5296000000000003</v>
      </c>
      <c r="J39" s="190">
        <v>63.6935</v>
      </c>
      <c r="K39" s="201"/>
      <c r="L39" s="201"/>
      <c r="M39" s="201"/>
      <c r="N39" s="201"/>
      <c r="O39" s="201"/>
      <c r="P39" s="201"/>
      <c r="Q39" s="171">
        <f t="shared" si="108"/>
        <v>-0.03</v>
      </c>
      <c r="R39" s="171">
        <f t="shared" si="109"/>
        <v>0</v>
      </c>
      <c r="S39" s="171">
        <f t="shared" si="110"/>
        <v>0</v>
      </c>
      <c r="T39" s="171">
        <f t="shared" si="111"/>
        <v>5.2758797006461279E-2</v>
      </c>
      <c r="U39" s="171">
        <f t="shared" si="112"/>
        <v>0</v>
      </c>
      <c r="V39" s="171">
        <f t="shared" si="94"/>
        <v>0</v>
      </c>
      <c r="W39" s="171">
        <f t="shared" si="113"/>
        <v>0</v>
      </c>
      <c r="X39" s="172">
        <f t="shared" si="96"/>
        <v>4.3010752688172046E-2</v>
      </c>
      <c r="Y39" s="172">
        <f t="shared" si="97"/>
        <v>5.5900621118012424E-2</v>
      </c>
      <c r="Z39" s="172">
        <f t="shared" si="98"/>
        <v>2.7586206896551724E-2</v>
      </c>
      <c r="AA39" s="172">
        <f t="shared" si="99"/>
        <v>0.49907333862854114</v>
      </c>
      <c r="AB39" s="172">
        <f t="shared" si="100"/>
        <v>-4.4982569636511016E-3</v>
      </c>
      <c r="AC39" s="172">
        <f t="shared" si="56"/>
        <v>-0.12408759124087591</v>
      </c>
      <c r="AD39" s="172">
        <f t="shared" ref="AD39" si="149">(E39-E43)/E43</f>
        <v>-0.12533333333333332</v>
      </c>
      <c r="AE39" s="172">
        <f t="shared" si="101"/>
        <v>1.0416666666666666E-2</v>
      </c>
      <c r="AF39" s="172">
        <f t="shared" si="102"/>
        <v>-1.1627906976744186E-2</v>
      </c>
      <c r="AG39" s="172">
        <f t="shared" si="103"/>
        <v>0.192</v>
      </c>
      <c r="AH39" s="172">
        <f t="shared" si="104"/>
        <v>0.57081425995283663</v>
      </c>
      <c r="AI39" s="172">
        <f t="shared" si="105"/>
        <v>-0.13352281560945273</v>
      </c>
      <c r="AJ39" s="172">
        <f t="shared" si="62"/>
        <v>0.33333333333333331</v>
      </c>
      <c r="AK39" s="172">
        <f t="shared" ref="AK39" si="150">(E39-E91)/E91</f>
        <v>0.23773584905660378</v>
      </c>
      <c r="AM39" s="197"/>
      <c r="AN39" s="197"/>
      <c r="AO39" s="197"/>
      <c r="AP39" s="197"/>
      <c r="AQ39" s="197"/>
      <c r="AR39" s="197"/>
      <c r="AS39" s="197"/>
      <c r="AT39" s="197"/>
      <c r="AU39" s="197"/>
      <c r="AV39" s="197"/>
      <c r="AW39" s="197"/>
    </row>
    <row r="40" spans="1:49" x14ac:dyDescent="0.3">
      <c r="A40" s="169">
        <v>45968</v>
      </c>
      <c r="B40" s="159">
        <f t="shared" si="106"/>
        <v>2025</v>
      </c>
      <c r="C40" s="159">
        <f t="shared" si="107"/>
        <v>11</v>
      </c>
      <c r="D40" s="190">
        <f>AVERAGEIFS(data!G:G,data!A:A,'weekly-forecast'!B40,data!B:B,'weekly-forecast'!C40)</f>
        <v>360</v>
      </c>
      <c r="E40" s="190">
        <f>AVERAGEIFS(data!F:F,data!A:A,'weekly-forecast'!B40,data!B:B,'weekly-forecast'!C40)</f>
        <v>328</v>
      </c>
      <c r="F40" s="190">
        <v>250</v>
      </c>
      <c r="G40" s="190">
        <v>425</v>
      </c>
      <c r="H40" s="190">
        <v>372.5</v>
      </c>
      <c r="I40" s="170">
        <v>4.3026</v>
      </c>
      <c r="J40" s="190">
        <v>63.6935</v>
      </c>
      <c r="K40" s="202"/>
      <c r="L40" s="202"/>
      <c r="M40" s="202"/>
      <c r="N40" s="202"/>
      <c r="O40" s="202"/>
      <c r="P40" s="202"/>
      <c r="Q40" s="171">
        <f t="shared" si="108"/>
        <v>0</v>
      </c>
      <c r="R40" s="171">
        <f t="shared" si="109"/>
        <v>0</v>
      </c>
      <c r="S40" s="171">
        <f t="shared" si="110"/>
        <v>6.7567567567567571E-3</v>
      </c>
      <c r="T40" s="171">
        <f t="shared" si="111"/>
        <v>0.17924683440223629</v>
      </c>
      <c r="U40" s="171">
        <f t="shared" si="112"/>
        <v>-4.4982569636511016E-3</v>
      </c>
      <c r="V40" s="171">
        <f t="shared" si="94"/>
        <v>-0.12408759124087591</v>
      </c>
      <c r="W40" s="171">
        <f t="shared" si="113"/>
        <v>-0.12533333333333332</v>
      </c>
      <c r="X40" s="172">
        <f t="shared" si="96"/>
        <v>5.2631578947368418E-2</v>
      </c>
      <c r="Y40" s="172">
        <f t="shared" si="97"/>
        <v>0.11842105263157894</v>
      </c>
      <c r="Z40" s="172">
        <f t="shared" si="98"/>
        <v>6.7567567567567571E-3</v>
      </c>
      <c r="AA40" s="172">
        <f t="shared" si="99"/>
        <v>0.29885890237275864</v>
      </c>
      <c r="AB40" s="172">
        <f t="shared" si="100"/>
        <v>-4.4982569636511016E-3</v>
      </c>
      <c r="AC40" s="172">
        <f t="shared" si="56"/>
        <v>-0.12408759124087591</v>
      </c>
      <c r="AD40" s="172">
        <f t="shared" ref="AD40" si="151">(E40-E44)/E44</f>
        <v>-0.12533333333333332</v>
      </c>
      <c r="AE40" s="172">
        <f t="shared" si="101"/>
        <v>3.0927835051546393E-2</v>
      </c>
      <c r="AF40" s="172">
        <f t="shared" si="102"/>
        <v>-1.1627906976744186E-2</v>
      </c>
      <c r="AG40" s="172">
        <f t="shared" si="103"/>
        <v>0.16771159874608149</v>
      </c>
      <c r="AH40" s="172">
        <f t="shared" si="104"/>
        <v>0.58650442477876097</v>
      </c>
      <c r="AI40" s="172">
        <f t="shared" si="105"/>
        <v>-0.13352281560945273</v>
      </c>
      <c r="AJ40" s="172">
        <f t="shared" si="62"/>
        <v>0.33333333333333331</v>
      </c>
      <c r="AK40" s="172">
        <f t="shared" ref="AK40" si="152">(E40-E92)/E92</f>
        <v>0.23773584905660378</v>
      </c>
      <c r="AM40" s="197"/>
      <c r="AN40" s="197"/>
      <c r="AO40" s="197"/>
      <c r="AP40" s="197"/>
      <c r="AQ40" s="197"/>
      <c r="AR40" s="197"/>
      <c r="AS40" s="197"/>
      <c r="AT40" s="197"/>
      <c r="AU40" s="197"/>
      <c r="AV40" s="197"/>
      <c r="AW40" s="197"/>
    </row>
    <row r="41" spans="1:49" x14ac:dyDescent="0.3">
      <c r="A41" s="169">
        <v>45961</v>
      </c>
      <c r="B41" s="159">
        <f t="shared" si="106"/>
        <v>2025</v>
      </c>
      <c r="C41" s="159">
        <f t="shared" si="107"/>
        <v>10</v>
      </c>
      <c r="D41" s="190">
        <f>AVERAGEIFS(data!G:G,data!A:A,'weekly-forecast'!B41,data!B:B,'weekly-forecast'!C41)</f>
        <v>411</v>
      </c>
      <c r="E41" s="190">
        <f>AVERAGEIFS(data!F:F,data!A:A,'weekly-forecast'!B41,data!B:B,'weekly-forecast'!C41)</f>
        <v>375</v>
      </c>
      <c r="F41" s="190">
        <v>250</v>
      </c>
      <c r="G41" s="190">
        <v>425</v>
      </c>
      <c r="H41" s="190">
        <v>370</v>
      </c>
      <c r="I41" s="170">
        <v>3.6486000000000005</v>
      </c>
      <c r="J41" s="190">
        <v>63.981304347826089</v>
      </c>
      <c r="K41" s="200">
        <f>AVERAGE(D41:D45)</f>
        <v>411</v>
      </c>
      <c r="L41" s="200">
        <f t="shared" ref="L41:P41" si="153">AVERAGE(E41:E45)</f>
        <v>375</v>
      </c>
      <c r="M41" s="200">
        <f t="shared" si="153"/>
        <v>245</v>
      </c>
      <c r="N41" s="200">
        <f t="shared" si="153"/>
        <v>400</v>
      </c>
      <c r="O41" s="200">
        <f t="shared" si="153"/>
        <v>365.5</v>
      </c>
      <c r="P41" s="200">
        <f t="shared" si="153"/>
        <v>3.3478000000000003</v>
      </c>
      <c r="Q41" s="171">
        <f t="shared" si="108"/>
        <v>0</v>
      </c>
      <c r="R41" s="171">
        <f t="shared" si="109"/>
        <v>3.0303030303030304E-2</v>
      </c>
      <c r="S41" s="171">
        <f t="shared" si="110"/>
        <v>4.9645390070921988E-2</v>
      </c>
      <c r="T41" s="171">
        <f t="shared" si="111"/>
        <v>7.5078083564146622E-2</v>
      </c>
      <c r="U41" s="171">
        <f t="shared" si="112"/>
        <v>0</v>
      </c>
      <c r="V41" s="171">
        <f t="shared" si="94"/>
        <v>0</v>
      </c>
      <c r="W41" s="171">
        <f t="shared" si="113"/>
        <v>0</v>
      </c>
      <c r="X41" s="172">
        <f t="shared" si="96"/>
        <v>-1.9607843137254902E-2</v>
      </c>
      <c r="Y41" s="172">
        <f t="shared" si="97"/>
        <v>0.11842105263157894</v>
      </c>
      <c r="Z41" s="172">
        <f t="shared" si="98"/>
        <v>-6.7114093959731542E-3</v>
      </c>
      <c r="AA41" s="172">
        <f t="shared" si="99"/>
        <v>8.5117773019272078E-2</v>
      </c>
      <c r="AB41" s="172">
        <f t="shared" si="100"/>
        <v>0</v>
      </c>
      <c r="AC41" s="172">
        <f t="shared" si="56"/>
        <v>0</v>
      </c>
      <c r="AD41" s="172">
        <f t="shared" ref="AD41" si="154">(E41-E45)/E45</f>
        <v>0</v>
      </c>
      <c r="AE41" s="172">
        <f t="shared" si="101"/>
        <v>2.0408163265306121E-2</v>
      </c>
      <c r="AF41" s="172">
        <f t="shared" si="102"/>
        <v>-1.1627906976744186E-2</v>
      </c>
      <c r="AG41" s="172">
        <f t="shared" si="103"/>
        <v>0.13846153846153847</v>
      </c>
      <c r="AH41" s="172">
        <f t="shared" si="104"/>
        <v>0.41748251748251752</v>
      </c>
      <c r="AI41" s="172">
        <f t="shared" si="105"/>
        <v>-0.12960756678563701</v>
      </c>
      <c r="AJ41" s="172">
        <f t="shared" si="62"/>
        <v>0.52222222222222225</v>
      </c>
      <c r="AK41" s="172">
        <f t="shared" ref="AK41" si="155">(E41-E93)/E93</f>
        <v>0.41509433962264153</v>
      </c>
      <c r="AM41" s="197"/>
      <c r="AN41" s="197"/>
      <c r="AO41" s="197"/>
      <c r="AP41" s="197"/>
      <c r="AQ41" s="197"/>
      <c r="AR41" s="197"/>
      <c r="AS41" s="197"/>
      <c r="AT41" s="197"/>
      <c r="AU41" s="197"/>
      <c r="AV41" s="197"/>
      <c r="AW41" s="197"/>
    </row>
    <row r="42" spans="1:49" x14ac:dyDescent="0.3">
      <c r="A42" s="169">
        <v>45954</v>
      </c>
      <c r="B42" s="159">
        <f t="shared" si="106"/>
        <v>2025</v>
      </c>
      <c r="C42" s="159">
        <f t="shared" si="107"/>
        <v>10</v>
      </c>
      <c r="D42" s="190">
        <f>AVERAGEIFS(data!G:G,data!A:A,'weekly-forecast'!B42,data!B:B,'weekly-forecast'!C42)</f>
        <v>411</v>
      </c>
      <c r="E42" s="190">
        <f>AVERAGEIFS(data!F:F,data!A:A,'weekly-forecast'!B42,data!B:B,'weekly-forecast'!C42)</f>
        <v>375</v>
      </c>
      <c r="F42" s="190">
        <v>250</v>
      </c>
      <c r="G42" s="190">
        <v>412.5</v>
      </c>
      <c r="H42" s="190">
        <v>352.5</v>
      </c>
      <c r="I42" s="170">
        <v>3.3937999999999997</v>
      </c>
      <c r="J42" s="190">
        <v>63.981304347826089</v>
      </c>
      <c r="K42" s="201"/>
      <c r="L42" s="201"/>
      <c r="M42" s="201"/>
      <c r="N42" s="201"/>
      <c r="O42" s="201"/>
      <c r="P42" s="201"/>
      <c r="Q42" s="171">
        <f t="shared" si="108"/>
        <v>7.5268817204301078E-2</v>
      </c>
      <c r="R42" s="171">
        <f t="shared" si="109"/>
        <v>2.4844720496894408E-2</v>
      </c>
      <c r="S42" s="171">
        <f t="shared" si="110"/>
        <v>-2.7586206896551724E-2</v>
      </c>
      <c r="T42" s="171">
        <f t="shared" si="111"/>
        <v>0.12317977230606281</v>
      </c>
      <c r="U42" s="171">
        <f t="shared" si="112"/>
        <v>0</v>
      </c>
      <c r="V42" s="171">
        <f t="shared" si="94"/>
        <v>0</v>
      </c>
      <c r="W42" s="171">
        <f t="shared" si="113"/>
        <v>0</v>
      </c>
      <c r="X42" s="172">
        <f t="shared" si="96"/>
        <v>-5.6603773584905662E-2</v>
      </c>
      <c r="Y42" s="172">
        <f t="shared" si="97"/>
        <v>0.1</v>
      </c>
      <c r="Z42" s="172">
        <f t="shared" si="98"/>
        <v>-6.6225165562913912E-2</v>
      </c>
      <c r="AA42" s="172">
        <f t="shared" si="99"/>
        <v>0.19030583613916938</v>
      </c>
      <c r="AB42" s="172">
        <f t="shared" si="100"/>
        <v>-5.3658265663457064E-2</v>
      </c>
      <c r="AC42" s="172">
        <f t="shared" si="56"/>
        <v>5.1150895140664961E-2</v>
      </c>
      <c r="AD42" s="172">
        <f t="shared" ref="AD42" si="156">(E42-E46)/E46</f>
        <v>5.3619302949061663E-3</v>
      </c>
      <c r="AE42" s="172">
        <f t="shared" si="101"/>
        <v>1.0101010101010102E-2</v>
      </c>
      <c r="AF42" s="172">
        <f t="shared" si="102"/>
        <v>-4.0697674418604654E-2</v>
      </c>
      <c r="AG42" s="172">
        <f t="shared" si="103"/>
        <v>8.461538461538462E-2</v>
      </c>
      <c r="AH42" s="172">
        <f t="shared" si="104"/>
        <v>0.40856644807835979</v>
      </c>
      <c r="AI42" s="172">
        <f t="shared" si="105"/>
        <v>-0.14993674651817007</v>
      </c>
      <c r="AJ42" s="172">
        <f t="shared" si="62"/>
        <v>0.52222222222222225</v>
      </c>
      <c r="AK42" s="172">
        <f t="shared" ref="AK42" si="157">(E42-E94)/E94</f>
        <v>0.44787644787644787</v>
      </c>
    </row>
    <row r="43" spans="1:49" x14ac:dyDescent="0.3">
      <c r="A43" s="169">
        <v>45947</v>
      </c>
      <c r="B43" s="159">
        <f t="shared" si="106"/>
        <v>2025</v>
      </c>
      <c r="C43" s="159">
        <f t="shared" si="107"/>
        <v>10</v>
      </c>
      <c r="D43" s="190">
        <f>AVERAGEIFS(data!G:G,data!A:A,'weekly-forecast'!B43,data!B:B,'weekly-forecast'!C43)</f>
        <v>411</v>
      </c>
      <c r="E43" s="190">
        <f>AVERAGEIFS(data!F:F,data!A:A,'weekly-forecast'!B43,data!B:B,'weekly-forecast'!C43)</f>
        <v>375</v>
      </c>
      <c r="F43" s="190">
        <v>232.5</v>
      </c>
      <c r="G43" s="190">
        <v>402.5</v>
      </c>
      <c r="H43" s="190">
        <v>362.5</v>
      </c>
      <c r="I43" s="170">
        <v>3.0216000000000003</v>
      </c>
      <c r="J43" s="190">
        <v>63.981304347826089</v>
      </c>
      <c r="K43" s="201"/>
      <c r="L43" s="201"/>
      <c r="M43" s="201"/>
      <c r="N43" s="201"/>
      <c r="O43" s="201"/>
      <c r="P43" s="201"/>
      <c r="Q43" s="171">
        <f t="shared" si="108"/>
        <v>-2.1052631578947368E-2</v>
      </c>
      <c r="R43" s="171">
        <f t="shared" si="109"/>
        <v>5.921052631578947E-2</v>
      </c>
      <c r="S43" s="171">
        <f t="shared" si="110"/>
        <v>-2.0270270270270271E-2</v>
      </c>
      <c r="T43" s="171">
        <f t="shared" si="111"/>
        <v>-8.7846404636841E-2</v>
      </c>
      <c r="U43" s="171">
        <f t="shared" si="112"/>
        <v>0</v>
      </c>
      <c r="V43" s="171">
        <f t="shared" si="94"/>
        <v>0</v>
      </c>
      <c r="W43" s="171">
        <f t="shared" si="113"/>
        <v>0</v>
      </c>
      <c r="X43" s="172">
        <f t="shared" si="96"/>
        <v>-0.15454545454545454</v>
      </c>
      <c r="Y43" s="172">
        <f t="shared" si="97"/>
        <v>0.1103448275862069</v>
      </c>
      <c r="Z43" s="172">
        <f t="shared" si="98"/>
        <v>-6.4516129032258063E-2</v>
      </c>
      <c r="AA43" s="172">
        <f t="shared" si="99"/>
        <v>2.3220327738340467E-3</v>
      </c>
      <c r="AB43" s="172">
        <f t="shared" si="100"/>
        <v>-5.3658265663457064E-2</v>
      </c>
      <c r="AC43" s="172">
        <f t="shared" ref="AC43:AC74" si="158">(D43-D47)/D47</f>
        <v>5.1150895140664961E-2</v>
      </c>
      <c r="AD43" s="172">
        <f t="shared" ref="AD43" si="159">(E43-E47)/E47</f>
        <v>5.3619302949061663E-3</v>
      </c>
      <c r="AE43" s="172">
        <f t="shared" si="101"/>
        <v>-2.1052631578947368E-2</v>
      </c>
      <c r="AF43" s="172">
        <f t="shared" si="102"/>
        <v>-6.3953488372093026E-2</v>
      </c>
      <c r="AG43" s="172">
        <f t="shared" si="103"/>
        <v>0.11538461538461539</v>
      </c>
      <c r="AH43" s="172">
        <f t="shared" si="104"/>
        <v>0.26278836509528586</v>
      </c>
      <c r="AI43" s="172">
        <f t="shared" si="105"/>
        <v>-0.14993674651817007</v>
      </c>
      <c r="AJ43" s="172">
        <f t="shared" ref="AJ43:AJ74" si="160">(D43-D95)/D95</f>
        <v>0.52222222222222225</v>
      </c>
      <c r="AK43" s="172">
        <f t="shared" ref="AK43" si="161">(E43-E95)/E95</f>
        <v>0.44787644787644787</v>
      </c>
    </row>
    <row r="44" spans="1:49" x14ac:dyDescent="0.3">
      <c r="A44" s="169">
        <v>45940</v>
      </c>
      <c r="B44" s="159">
        <f t="shared" si="106"/>
        <v>2025</v>
      </c>
      <c r="C44" s="159">
        <f t="shared" si="107"/>
        <v>10</v>
      </c>
      <c r="D44" s="190">
        <f>AVERAGEIFS(data!G:G,data!A:A,'weekly-forecast'!B44,data!B:B,'weekly-forecast'!C44)</f>
        <v>411</v>
      </c>
      <c r="E44" s="190">
        <f>AVERAGEIFS(data!F:F,data!A:A,'weekly-forecast'!B44,data!B:B,'weekly-forecast'!C44)</f>
        <v>375</v>
      </c>
      <c r="F44" s="190">
        <v>237.5</v>
      </c>
      <c r="G44" s="190">
        <v>380</v>
      </c>
      <c r="H44" s="190">
        <v>370</v>
      </c>
      <c r="I44" s="170">
        <v>3.3125999999999998</v>
      </c>
      <c r="J44" s="190">
        <v>63.981304347826089</v>
      </c>
      <c r="K44" s="201"/>
      <c r="L44" s="201"/>
      <c r="M44" s="201"/>
      <c r="N44" s="201"/>
      <c r="O44" s="201"/>
      <c r="P44" s="201"/>
      <c r="Q44" s="171">
        <f t="shared" si="108"/>
        <v>-6.8627450980392163E-2</v>
      </c>
      <c r="R44" s="171">
        <f t="shared" si="109"/>
        <v>0</v>
      </c>
      <c r="S44" s="171">
        <f t="shared" si="110"/>
        <v>-6.7114093959731542E-3</v>
      </c>
      <c r="T44" s="171">
        <f t="shared" si="111"/>
        <v>-1.4810849393290592E-2</v>
      </c>
      <c r="U44" s="171">
        <f t="shared" si="112"/>
        <v>0</v>
      </c>
      <c r="V44" s="171">
        <f t="shared" si="94"/>
        <v>0</v>
      </c>
      <c r="W44" s="171">
        <f t="shared" si="113"/>
        <v>0</v>
      </c>
      <c r="X44" s="172">
        <f t="shared" si="96"/>
        <v>-0.17391304347826086</v>
      </c>
      <c r="Y44" s="172">
        <f t="shared" si="97"/>
        <v>0.10144927536231885</v>
      </c>
      <c r="Z44" s="172">
        <f t="shared" si="98"/>
        <v>-3.1413612565445025E-2</v>
      </c>
      <c r="AA44" s="172">
        <f t="shared" si="99"/>
        <v>9.608894183045448E-2</v>
      </c>
      <c r="AB44" s="172">
        <f t="shared" si="100"/>
        <v>-5.3658265663457064E-2</v>
      </c>
      <c r="AC44" s="172">
        <f t="shared" si="158"/>
        <v>5.1150895140664961E-2</v>
      </c>
      <c r="AD44" s="172">
        <f t="shared" ref="AD44" si="162">(E44-E48)/E48</f>
        <v>5.3619302949061663E-3</v>
      </c>
      <c r="AE44" s="172">
        <f t="shared" si="101"/>
        <v>0</v>
      </c>
      <c r="AF44" s="172">
        <f t="shared" si="102"/>
        <v>-0.11627906976744186</v>
      </c>
      <c r="AG44" s="172">
        <f t="shared" si="103"/>
        <v>0.12121212121212122</v>
      </c>
      <c r="AH44" s="172">
        <f t="shared" si="104"/>
        <v>0.23181615350290019</v>
      </c>
      <c r="AI44" s="172">
        <f t="shared" si="105"/>
        <v>-0.14993674651817007</v>
      </c>
      <c r="AJ44" s="172">
        <f t="shared" si="160"/>
        <v>0.52222222222222225</v>
      </c>
      <c r="AK44" s="172">
        <f t="shared" ref="AK44" si="163">(E44-E96)/E96</f>
        <v>0.44787644787644787</v>
      </c>
      <c r="AM44" s="210" t="s">
        <v>94</v>
      </c>
      <c r="AN44" s="210"/>
      <c r="AO44" s="210"/>
      <c r="AP44" s="210"/>
      <c r="AQ44" s="210"/>
      <c r="AR44" s="210"/>
      <c r="AS44" s="210"/>
      <c r="AT44" s="210"/>
      <c r="AU44" s="210"/>
      <c r="AV44" s="210"/>
      <c r="AW44" s="210"/>
    </row>
    <row r="45" spans="1:49" x14ac:dyDescent="0.3">
      <c r="A45" s="169">
        <v>45933</v>
      </c>
      <c r="B45" s="159">
        <f t="shared" si="106"/>
        <v>2025</v>
      </c>
      <c r="C45" s="159">
        <f t="shared" si="107"/>
        <v>10</v>
      </c>
      <c r="D45" s="190">
        <f>AVERAGEIFS(data!G:G,data!A:A,'weekly-forecast'!B45,data!B:B,'weekly-forecast'!C45)</f>
        <v>411</v>
      </c>
      <c r="E45" s="190">
        <f>AVERAGEIFS(data!F:F,data!A:A,'weekly-forecast'!B45,data!B:B,'weekly-forecast'!C45)</f>
        <v>375</v>
      </c>
      <c r="F45" s="190">
        <v>255</v>
      </c>
      <c r="G45" s="190">
        <v>380</v>
      </c>
      <c r="H45" s="190">
        <v>372.5</v>
      </c>
      <c r="I45" s="170">
        <v>3.3624000000000001</v>
      </c>
      <c r="J45" s="190">
        <v>63.981304347826089</v>
      </c>
      <c r="K45" s="202"/>
      <c r="L45" s="202"/>
      <c r="M45" s="202"/>
      <c r="N45" s="202"/>
      <c r="O45" s="202"/>
      <c r="P45" s="202"/>
      <c r="Q45" s="171">
        <f t="shared" si="108"/>
        <v>-3.7735849056603772E-2</v>
      </c>
      <c r="R45" s="171">
        <f t="shared" si="109"/>
        <v>1.3333333333333334E-2</v>
      </c>
      <c r="S45" s="171">
        <f t="shared" si="110"/>
        <v>-1.3245033112582781E-2</v>
      </c>
      <c r="T45" s="171">
        <f t="shared" si="111"/>
        <v>0.17929292929292934</v>
      </c>
      <c r="U45" s="171">
        <f t="shared" si="112"/>
        <v>-5.3658265663457064E-2</v>
      </c>
      <c r="V45" s="171">
        <f t="shared" si="94"/>
        <v>5.1150895140664961E-2</v>
      </c>
      <c r="W45" s="171">
        <f t="shared" si="113"/>
        <v>5.3619302949061663E-3</v>
      </c>
      <c r="X45" s="172">
        <f t="shared" si="96"/>
        <v>-0.13559322033898305</v>
      </c>
      <c r="Y45" s="172">
        <f t="shared" si="97"/>
        <v>0.16030534351145037</v>
      </c>
      <c r="Z45" s="172">
        <f t="shared" si="98"/>
        <v>-8.5889570552147243E-2</v>
      </c>
      <c r="AA45" s="172">
        <f t="shared" si="99"/>
        <v>0.10287822878228782</v>
      </c>
      <c r="AB45" s="172">
        <f t="shared" si="100"/>
        <v>-5.3658265663457064E-2</v>
      </c>
      <c r="AC45" s="172">
        <f t="shared" si="158"/>
        <v>5.1150895140664961E-2</v>
      </c>
      <c r="AD45" s="172">
        <f t="shared" ref="AD45" si="164">(E45-E49)/E49</f>
        <v>5.3619302949061663E-3</v>
      </c>
      <c r="AE45" s="172">
        <f t="shared" si="101"/>
        <v>3.0303030303030304E-2</v>
      </c>
      <c r="AF45" s="172">
        <f t="shared" si="102"/>
        <v>-0.11627906976744186</v>
      </c>
      <c r="AG45" s="172">
        <f t="shared" si="103"/>
        <v>0.21138211382113822</v>
      </c>
      <c r="AH45" s="172">
        <f t="shared" si="104"/>
        <v>0.15713400784637616</v>
      </c>
      <c r="AI45" s="172">
        <f t="shared" si="105"/>
        <v>-0.14993674651817007</v>
      </c>
      <c r="AJ45" s="172">
        <f t="shared" si="160"/>
        <v>0.52222222222222225</v>
      </c>
      <c r="AK45" s="172">
        <f t="shared" ref="AK45" si="165">(E45-E97)/E97</f>
        <v>0.44787644787644787</v>
      </c>
      <c r="AM45" s="210"/>
      <c r="AN45" s="210"/>
      <c r="AO45" s="210"/>
      <c r="AP45" s="210"/>
      <c r="AQ45" s="210"/>
      <c r="AR45" s="210"/>
      <c r="AS45" s="210"/>
      <c r="AT45" s="210"/>
      <c r="AU45" s="210"/>
      <c r="AV45" s="210"/>
      <c r="AW45" s="210"/>
    </row>
    <row r="46" spans="1:49" x14ac:dyDescent="0.3">
      <c r="A46" s="169">
        <v>45926</v>
      </c>
      <c r="B46" s="159">
        <f t="shared" si="106"/>
        <v>2025</v>
      </c>
      <c r="C46" s="159">
        <f t="shared" si="107"/>
        <v>9</v>
      </c>
      <c r="D46" s="190">
        <f>AVERAGEIFS(data!G:G,data!A:A,'weekly-forecast'!B46,data!B:B,'weekly-forecast'!C46)</f>
        <v>391</v>
      </c>
      <c r="E46" s="190">
        <f>AVERAGEIFS(data!F:F,data!A:A,'weekly-forecast'!B46,data!B:B,'weekly-forecast'!C46)</f>
        <v>373</v>
      </c>
      <c r="F46" s="190">
        <v>265</v>
      </c>
      <c r="G46" s="190">
        <v>375</v>
      </c>
      <c r="H46" s="190">
        <v>377.5</v>
      </c>
      <c r="I46" s="170">
        <v>2.8512</v>
      </c>
      <c r="J46" s="190">
        <v>67.609090909090909</v>
      </c>
      <c r="K46" s="200">
        <f>AVERAGE(D46:D49)</f>
        <v>391</v>
      </c>
      <c r="L46" s="200">
        <f t="shared" ref="L46:P46" si="166">AVERAGE(E46:E49)</f>
        <v>373</v>
      </c>
      <c r="M46" s="200">
        <f t="shared" si="166"/>
        <v>280.625</v>
      </c>
      <c r="N46" s="200">
        <f t="shared" si="166"/>
        <v>352.5</v>
      </c>
      <c r="O46" s="200">
        <f t="shared" si="166"/>
        <v>388.625</v>
      </c>
      <c r="P46" s="200">
        <f t="shared" si="166"/>
        <v>2.9841875</v>
      </c>
      <c r="Q46" s="171">
        <f t="shared" si="108"/>
        <v>-3.6363636363636362E-2</v>
      </c>
      <c r="R46" s="171">
        <f t="shared" si="109"/>
        <v>3.4482758620689655E-2</v>
      </c>
      <c r="S46" s="171">
        <f t="shared" si="110"/>
        <v>-2.5806451612903226E-2</v>
      </c>
      <c r="T46" s="171">
        <f t="shared" si="111"/>
        <v>-5.4202879320639621E-2</v>
      </c>
      <c r="U46" s="171">
        <f t="shared" si="112"/>
        <v>0</v>
      </c>
      <c r="V46" s="171">
        <f t="shared" si="94"/>
        <v>0</v>
      </c>
      <c r="W46" s="171">
        <f t="shared" si="113"/>
        <v>0</v>
      </c>
      <c r="X46" s="172">
        <f t="shared" si="96"/>
        <v>-0.13114754098360656</v>
      </c>
      <c r="Y46" s="172">
        <f t="shared" si="97"/>
        <v>0.14503816793893129</v>
      </c>
      <c r="Z46" s="172">
        <f t="shared" si="98"/>
        <v>-0.14204545454545456</v>
      </c>
      <c r="AA46" s="172">
        <f t="shared" si="99"/>
        <v>2.4611490049926579E-3</v>
      </c>
      <c r="AB46" s="172">
        <f t="shared" si="100"/>
        <v>5.4250735349501821E-3</v>
      </c>
      <c r="AC46" s="172">
        <f t="shared" si="158"/>
        <v>5.675675675675676E-2</v>
      </c>
      <c r="AD46" s="172">
        <f t="shared" ref="AD46" si="167">(E46-E50)/E50</f>
        <v>8.1081081081081086E-3</v>
      </c>
      <c r="AE46" s="172">
        <f t="shared" si="101"/>
        <v>7.0707070707070704E-2</v>
      </c>
      <c r="AF46" s="172">
        <f t="shared" si="102"/>
        <v>-0.12790697674418605</v>
      </c>
      <c r="AG46" s="172">
        <f t="shared" si="103"/>
        <v>0.22764227642276422</v>
      </c>
      <c r="AH46" s="172">
        <f t="shared" si="104"/>
        <v>7.2847682119205295E-2</v>
      </c>
      <c r="AI46" s="172">
        <f t="shared" si="105"/>
        <v>-7.4578506794435617E-2</v>
      </c>
      <c r="AJ46" s="172">
        <f t="shared" si="160"/>
        <v>0.55158730158730163</v>
      </c>
      <c r="AK46" s="172">
        <f t="shared" ref="AK46" si="168">(E46-E98)/E98</f>
        <v>0.62882096069868998</v>
      </c>
      <c r="AM46" s="210"/>
      <c r="AN46" s="210"/>
      <c r="AO46" s="210"/>
      <c r="AP46" s="210"/>
      <c r="AQ46" s="210"/>
      <c r="AR46" s="210"/>
      <c r="AS46" s="210"/>
      <c r="AT46" s="210"/>
      <c r="AU46" s="210"/>
      <c r="AV46" s="210"/>
      <c r="AW46" s="210"/>
    </row>
    <row r="47" spans="1:49" x14ac:dyDescent="0.3">
      <c r="A47" s="169">
        <v>45919</v>
      </c>
      <c r="B47" s="159">
        <f t="shared" si="106"/>
        <v>2025</v>
      </c>
      <c r="C47" s="159">
        <f t="shared" si="107"/>
        <v>9</v>
      </c>
      <c r="D47" s="190">
        <f>AVERAGEIFS(data!G:G,data!A:A,'weekly-forecast'!B47,data!B:B,'weekly-forecast'!C47)</f>
        <v>391</v>
      </c>
      <c r="E47" s="190">
        <f>AVERAGEIFS(data!F:F,data!A:A,'weekly-forecast'!B47,data!B:B,'weekly-forecast'!C47)</f>
        <v>373</v>
      </c>
      <c r="F47" s="190">
        <v>275</v>
      </c>
      <c r="G47" s="190">
        <v>362.5</v>
      </c>
      <c r="H47" s="190">
        <v>387.5</v>
      </c>
      <c r="I47" s="170">
        <v>3.0146000000000002</v>
      </c>
      <c r="J47" s="190">
        <v>67.609090909090909</v>
      </c>
      <c r="K47" s="201"/>
      <c r="L47" s="201"/>
      <c r="M47" s="201"/>
      <c r="N47" s="201"/>
      <c r="O47" s="201"/>
      <c r="P47" s="201"/>
      <c r="Q47" s="171">
        <f t="shared" si="108"/>
        <v>-4.3478260869565216E-2</v>
      </c>
      <c r="R47" s="171">
        <f t="shared" si="109"/>
        <v>5.0724637681159424E-2</v>
      </c>
      <c r="S47" s="171">
        <f t="shared" si="110"/>
        <v>1.4397905759162303E-2</v>
      </c>
      <c r="T47" s="171">
        <f t="shared" si="111"/>
        <v>-2.5147243729733474E-3</v>
      </c>
      <c r="U47" s="171">
        <f t="shared" si="112"/>
        <v>0</v>
      </c>
      <c r="V47" s="171">
        <f t="shared" si="94"/>
        <v>0</v>
      </c>
      <c r="W47" s="171">
        <f t="shared" si="113"/>
        <v>0</v>
      </c>
      <c r="X47" s="172">
        <f t="shared" si="96"/>
        <v>-0.11290322580645161</v>
      </c>
      <c r="Y47" s="172">
        <f t="shared" si="97"/>
        <v>0.11538461538461539</v>
      </c>
      <c r="Z47" s="172">
        <f t="shared" si="98"/>
        <v>-0.12823397075365578</v>
      </c>
      <c r="AA47" s="172">
        <f t="shared" si="99"/>
        <v>8.1897789262130413E-2</v>
      </c>
      <c r="AB47" s="172">
        <f t="shared" si="100"/>
        <v>5.4250735349501821E-3</v>
      </c>
      <c r="AC47" s="172">
        <f t="shared" si="158"/>
        <v>5.675675675675676E-2</v>
      </c>
      <c r="AD47" s="172">
        <f t="shared" ref="AD47" si="169">(E47-E51)/E51</f>
        <v>8.1081081081081086E-3</v>
      </c>
      <c r="AE47" s="172">
        <f t="shared" si="101"/>
        <v>0.1</v>
      </c>
      <c r="AF47" s="172">
        <f t="shared" si="102"/>
        <v>-0.15697674418604651</v>
      </c>
      <c r="AG47" s="172">
        <f t="shared" si="103"/>
        <v>0.28099173553719009</v>
      </c>
      <c r="AH47" s="172">
        <f t="shared" si="104"/>
        <v>0.28139080166624153</v>
      </c>
      <c r="AI47" s="172">
        <f t="shared" si="105"/>
        <v>-7.4578506794435617E-2</v>
      </c>
      <c r="AJ47" s="172">
        <f t="shared" si="160"/>
        <v>0.55158730158730163</v>
      </c>
      <c r="AK47" s="172">
        <f t="shared" ref="AK47" si="170">(E47-E99)/E99</f>
        <v>0.62882096069868998</v>
      </c>
      <c r="AM47" s="210"/>
      <c r="AN47" s="210"/>
      <c r="AO47" s="210"/>
      <c r="AP47" s="210"/>
      <c r="AQ47" s="210"/>
      <c r="AR47" s="210"/>
      <c r="AS47" s="210"/>
      <c r="AT47" s="210"/>
      <c r="AU47" s="210"/>
      <c r="AV47" s="210"/>
      <c r="AW47" s="210"/>
    </row>
    <row r="48" spans="1:49" x14ac:dyDescent="0.3">
      <c r="A48" s="169">
        <v>45912</v>
      </c>
      <c r="B48" s="159">
        <f t="shared" si="106"/>
        <v>2025</v>
      </c>
      <c r="C48" s="159">
        <f t="shared" si="107"/>
        <v>9</v>
      </c>
      <c r="D48" s="190">
        <f>AVERAGEIFS(data!G:G,data!A:A,'weekly-forecast'!B48,data!B:B,'weekly-forecast'!C48)</f>
        <v>391</v>
      </c>
      <c r="E48" s="190">
        <f>AVERAGEIFS(data!F:F,data!A:A,'weekly-forecast'!B48,data!B:B,'weekly-forecast'!C48)</f>
        <v>373</v>
      </c>
      <c r="F48" s="190">
        <v>287.5</v>
      </c>
      <c r="G48" s="190">
        <v>345</v>
      </c>
      <c r="H48" s="190">
        <v>382</v>
      </c>
      <c r="I48" s="170">
        <v>3.0222000000000002</v>
      </c>
      <c r="J48" s="190">
        <v>67.609090909090909</v>
      </c>
      <c r="K48" s="201"/>
      <c r="L48" s="201"/>
      <c r="M48" s="201"/>
      <c r="N48" s="201"/>
      <c r="O48" s="201"/>
      <c r="P48" s="201"/>
      <c r="Q48" s="171">
        <f t="shared" si="108"/>
        <v>-2.5423728813559324E-2</v>
      </c>
      <c r="R48" s="171">
        <f t="shared" si="109"/>
        <v>5.3435114503816793E-2</v>
      </c>
      <c r="S48" s="171">
        <f t="shared" si="110"/>
        <v>-6.2576687116564417E-2</v>
      </c>
      <c r="T48" s="171">
        <f t="shared" si="111"/>
        <v>-8.7084870848708005E-3</v>
      </c>
      <c r="U48" s="171">
        <f t="shared" si="112"/>
        <v>0</v>
      </c>
      <c r="V48" s="171">
        <f t="shared" si="94"/>
        <v>0</v>
      </c>
      <c r="W48" s="171">
        <f t="shared" si="113"/>
        <v>0</v>
      </c>
      <c r="X48" s="172">
        <f t="shared" si="96"/>
        <v>-8.2934609250398722E-2</v>
      </c>
      <c r="Y48" s="172">
        <f t="shared" si="97"/>
        <v>6.1538461538461542E-2</v>
      </c>
      <c r="Z48" s="172">
        <f t="shared" si="98"/>
        <v>-0.14541387024608501</v>
      </c>
      <c r="AA48" s="172">
        <f t="shared" si="99"/>
        <v>5.325155084686712E-2</v>
      </c>
      <c r="AB48" s="172">
        <f t="shared" si="100"/>
        <v>5.4250735349501821E-3</v>
      </c>
      <c r="AC48" s="172">
        <f t="shared" si="158"/>
        <v>5.675675675675676E-2</v>
      </c>
      <c r="AD48" s="172">
        <f t="shared" ref="AD48" si="171">(E48-E52)/E52</f>
        <v>8.1081081081081086E-3</v>
      </c>
      <c r="AE48" s="172">
        <f t="shared" si="101"/>
        <v>0.13861386138613863</v>
      </c>
      <c r="AF48" s="172">
        <f t="shared" si="102"/>
        <v>-7.1942446043165471E-3</v>
      </c>
      <c r="AG48" s="172">
        <f t="shared" si="103"/>
        <v>0.28403361344537814</v>
      </c>
      <c r="AH48" s="172">
        <f t="shared" si="104"/>
        <v>0.33324510322922168</v>
      </c>
      <c r="AI48" s="172">
        <f t="shared" si="105"/>
        <v>-7.4578506794435617E-2</v>
      </c>
      <c r="AJ48" s="172">
        <f t="shared" si="160"/>
        <v>0.55158730158730163</v>
      </c>
      <c r="AK48" s="172">
        <f t="shared" ref="AK48" si="172">(E48-E100)/E100</f>
        <v>0.62882096069868998</v>
      </c>
      <c r="AM48" s="210"/>
      <c r="AN48" s="210"/>
      <c r="AO48" s="210"/>
      <c r="AP48" s="210"/>
      <c r="AQ48" s="210"/>
      <c r="AR48" s="210"/>
      <c r="AS48" s="210"/>
      <c r="AT48" s="210"/>
      <c r="AU48" s="210"/>
      <c r="AV48" s="210"/>
      <c r="AW48" s="210"/>
    </row>
    <row r="49" spans="1:49" x14ac:dyDescent="0.3">
      <c r="A49" s="169">
        <v>45905</v>
      </c>
      <c r="B49" s="159">
        <f t="shared" si="106"/>
        <v>2025</v>
      </c>
      <c r="C49" s="159">
        <f t="shared" si="107"/>
        <v>9</v>
      </c>
      <c r="D49" s="190">
        <f>AVERAGEIFS(data!G:G,data!A:A,'weekly-forecast'!B49,data!B:B,'weekly-forecast'!C49)</f>
        <v>391</v>
      </c>
      <c r="E49" s="190">
        <f>AVERAGEIFS(data!F:F,data!A:A,'weekly-forecast'!B49,data!B:B,'weekly-forecast'!C49)</f>
        <v>373</v>
      </c>
      <c r="F49" s="190">
        <v>295</v>
      </c>
      <c r="G49" s="190">
        <v>327.5</v>
      </c>
      <c r="H49" s="190">
        <v>407.5</v>
      </c>
      <c r="I49" s="170">
        <v>3.0487500000000001</v>
      </c>
      <c r="J49" s="190">
        <v>67.609090909090909</v>
      </c>
      <c r="K49" s="202"/>
      <c r="L49" s="202"/>
      <c r="M49" s="202"/>
      <c r="N49" s="202"/>
      <c r="O49" s="202"/>
      <c r="P49" s="202"/>
      <c r="Q49" s="171">
        <f t="shared" si="108"/>
        <v>-3.2786885245901641E-2</v>
      </c>
      <c r="R49" s="171">
        <f t="shared" si="109"/>
        <v>0</v>
      </c>
      <c r="S49" s="171">
        <f t="shared" si="110"/>
        <v>-7.3863636363636367E-2</v>
      </c>
      <c r="T49" s="171">
        <f t="shared" si="111"/>
        <v>7.1918289853034334E-2</v>
      </c>
      <c r="U49" s="171">
        <f t="shared" si="112"/>
        <v>5.4250735349501821E-3</v>
      </c>
      <c r="V49" s="171">
        <f t="shared" si="94"/>
        <v>5.675675675675676E-2</v>
      </c>
      <c r="W49" s="171">
        <f t="shared" si="113"/>
        <v>8.1081081081081086E-3</v>
      </c>
      <c r="X49" s="172">
        <f t="shared" si="96"/>
        <v>-8.4033613445378148E-3</v>
      </c>
      <c r="Y49" s="172">
        <f t="shared" si="97"/>
        <v>7.6923076923076927E-3</v>
      </c>
      <c r="Z49" s="172">
        <f t="shared" si="98"/>
        <v>-8.9385474860335198E-2</v>
      </c>
      <c r="AA49" s="172">
        <f t="shared" si="99"/>
        <v>1.1126956752454221E-2</v>
      </c>
      <c r="AB49" s="172">
        <f t="shared" si="100"/>
        <v>5.4250735349501821E-3</v>
      </c>
      <c r="AC49" s="172">
        <f t="shared" si="158"/>
        <v>5.675675675675676E-2</v>
      </c>
      <c r="AD49" s="172">
        <f t="shared" ref="AD49" si="173">(E49-E53)/E53</f>
        <v>8.1081081081081086E-3</v>
      </c>
      <c r="AE49" s="172">
        <f t="shared" si="101"/>
        <v>0.21649484536082475</v>
      </c>
      <c r="AF49" s="172">
        <f t="shared" si="102"/>
        <v>-5.7553956834532377E-2</v>
      </c>
      <c r="AG49" s="172">
        <f t="shared" si="103"/>
        <v>0.35833333333333334</v>
      </c>
      <c r="AH49" s="172">
        <f t="shared" si="104"/>
        <v>0.37377492396079776</v>
      </c>
      <c r="AI49" s="172">
        <f t="shared" si="105"/>
        <v>-7.4578506794435617E-2</v>
      </c>
      <c r="AJ49" s="172">
        <f t="shared" si="160"/>
        <v>0.55158730158730163</v>
      </c>
      <c r="AK49" s="172">
        <f t="shared" ref="AK49" si="174">(E49-E101)/E101</f>
        <v>0.62882096069868998</v>
      </c>
      <c r="AM49" s="210"/>
      <c r="AN49" s="210"/>
      <c r="AO49" s="210"/>
      <c r="AP49" s="210"/>
      <c r="AQ49" s="210"/>
      <c r="AR49" s="210"/>
      <c r="AS49" s="210"/>
      <c r="AT49" s="210"/>
      <c r="AU49" s="210"/>
      <c r="AV49" s="210"/>
      <c r="AW49" s="210"/>
    </row>
    <row r="50" spans="1:49" x14ac:dyDescent="0.3">
      <c r="A50" s="169">
        <v>45898</v>
      </c>
      <c r="B50" s="159">
        <f t="shared" si="106"/>
        <v>2025</v>
      </c>
      <c r="C50" s="159">
        <f t="shared" si="107"/>
        <v>8</v>
      </c>
      <c r="D50" s="190">
        <f>AVERAGEIFS(data!G:G,data!A:A,'weekly-forecast'!B50,data!B:B,'weekly-forecast'!C50)</f>
        <v>370</v>
      </c>
      <c r="E50" s="190">
        <f>AVERAGEIFS(data!F:F,data!A:A,'weekly-forecast'!B50,data!B:B,'weekly-forecast'!C50)</f>
        <v>370</v>
      </c>
      <c r="F50" s="190">
        <v>305</v>
      </c>
      <c r="G50" s="190">
        <v>327.5</v>
      </c>
      <c r="H50" s="190">
        <v>440</v>
      </c>
      <c r="I50" s="170">
        <v>2.8441999999999998</v>
      </c>
      <c r="J50" s="190">
        <v>67.244285714285709</v>
      </c>
      <c r="K50" s="200">
        <f>AVERAGE(D50:D54)</f>
        <v>370</v>
      </c>
      <c r="L50" s="200">
        <f t="shared" ref="L50:P50" si="175">AVERAGE(E50:E54)</f>
        <v>370</v>
      </c>
      <c r="M50" s="200">
        <f t="shared" si="175"/>
        <v>308.7</v>
      </c>
      <c r="N50" s="200">
        <f t="shared" si="175"/>
        <v>323.5</v>
      </c>
      <c r="O50" s="200">
        <f t="shared" si="175"/>
        <v>443.8</v>
      </c>
      <c r="P50" s="200">
        <f t="shared" si="175"/>
        <v>2.9151600000000002</v>
      </c>
      <c r="Q50" s="171">
        <f t="shared" si="108"/>
        <v>-1.6129032258064516E-2</v>
      </c>
      <c r="R50" s="171">
        <f t="shared" si="109"/>
        <v>7.6923076923076927E-3</v>
      </c>
      <c r="S50" s="171">
        <f t="shared" si="110"/>
        <v>-1.0123734533183352E-2</v>
      </c>
      <c r="T50" s="171">
        <f t="shared" si="111"/>
        <v>2.0743611828883093E-2</v>
      </c>
      <c r="U50" s="171">
        <f t="shared" si="112"/>
        <v>0</v>
      </c>
      <c r="V50" s="171">
        <f t="shared" si="94"/>
        <v>0</v>
      </c>
      <c r="W50" s="171">
        <f t="shared" si="113"/>
        <v>0</v>
      </c>
      <c r="X50" s="172">
        <f t="shared" si="96"/>
        <v>-3.937007874015748E-2</v>
      </c>
      <c r="Y50" s="172">
        <f t="shared" si="97"/>
        <v>3.968253968253968E-2</v>
      </c>
      <c r="Z50" s="172">
        <f t="shared" si="98"/>
        <v>0</v>
      </c>
      <c r="AA50" s="172">
        <f t="shared" si="99"/>
        <v>-7.0705090505129756E-2</v>
      </c>
      <c r="AB50" s="172">
        <f t="shared" si="100"/>
        <v>0</v>
      </c>
      <c r="AC50" s="172">
        <f t="shared" si="158"/>
        <v>0</v>
      </c>
      <c r="AD50" s="172">
        <f t="shared" ref="AD50" si="176">(E50-E54)/E54</f>
        <v>0</v>
      </c>
      <c r="AE50" s="172">
        <f t="shared" si="101"/>
        <v>0.23232323232323232</v>
      </c>
      <c r="AF50" s="172">
        <f t="shared" si="102"/>
        <v>-9.0277777777777776E-2</v>
      </c>
      <c r="AG50" s="172">
        <f t="shared" si="103"/>
        <v>0.45454545454545453</v>
      </c>
      <c r="AH50" s="172">
        <f t="shared" si="104"/>
        <v>0.41446190570917063</v>
      </c>
      <c r="AI50" s="172">
        <f t="shared" si="105"/>
        <v>-0.14900726197255787</v>
      </c>
      <c r="AJ50" s="172">
        <f t="shared" si="160"/>
        <v>0.33574007220216606</v>
      </c>
      <c r="AK50" s="172">
        <f t="shared" ref="AK50" si="177">(E50-E102)/E102</f>
        <v>0.48</v>
      </c>
      <c r="AM50" s="210"/>
      <c r="AN50" s="210"/>
      <c r="AO50" s="210"/>
      <c r="AP50" s="210"/>
      <c r="AQ50" s="210"/>
      <c r="AR50" s="210"/>
      <c r="AS50" s="210"/>
      <c r="AT50" s="210"/>
      <c r="AU50" s="210"/>
      <c r="AV50" s="210"/>
      <c r="AW50" s="210"/>
    </row>
    <row r="51" spans="1:49" x14ac:dyDescent="0.3">
      <c r="A51" s="169">
        <v>45891</v>
      </c>
      <c r="B51" s="159">
        <f t="shared" si="106"/>
        <v>2025</v>
      </c>
      <c r="C51" s="159">
        <f t="shared" si="107"/>
        <v>8</v>
      </c>
      <c r="D51" s="190">
        <f>AVERAGEIFS(data!G:G,data!A:A,'weekly-forecast'!B51,data!B:B,'weekly-forecast'!C51)</f>
        <v>370</v>
      </c>
      <c r="E51" s="190">
        <f>AVERAGEIFS(data!F:F,data!A:A,'weekly-forecast'!B51,data!B:B,'weekly-forecast'!C51)</f>
        <v>370</v>
      </c>
      <c r="F51" s="190">
        <v>310</v>
      </c>
      <c r="G51" s="190">
        <v>325</v>
      </c>
      <c r="H51" s="190">
        <v>444.5</v>
      </c>
      <c r="I51" s="170">
        <v>2.7864</v>
      </c>
      <c r="J51" s="190">
        <v>67.244285714285709</v>
      </c>
      <c r="K51" s="201"/>
      <c r="L51" s="201"/>
      <c r="M51" s="201"/>
      <c r="N51" s="201"/>
      <c r="O51" s="201"/>
      <c r="P51" s="201"/>
      <c r="Q51" s="171">
        <f t="shared" si="108"/>
        <v>-1.1164274322169059E-2</v>
      </c>
      <c r="R51" s="171">
        <f t="shared" si="109"/>
        <v>0</v>
      </c>
      <c r="S51" s="171">
        <f t="shared" si="110"/>
        <v>-5.5928411633109623E-3</v>
      </c>
      <c r="T51" s="171">
        <f t="shared" si="111"/>
        <v>-2.8925907855300671E-2</v>
      </c>
      <c r="U51" s="171">
        <f t="shared" si="112"/>
        <v>0</v>
      </c>
      <c r="V51" s="171">
        <f t="shared" si="94"/>
        <v>0</v>
      </c>
      <c r="W51" s="171">
        <f t="shared" si="113"/>
        <v>0</v>
      </c>
      <c r="X51" s="172">
        <f t="shared" si="96"/>
        <v>-3.125E-2</v>
      </c>
      <c r="Y51" s="172">
        <f t="shared" si="97"/>
        <v>3.1746031746031744E-2</v>
      </c>
      <c r="Z51" s="172">
        <f t="shared" si="98"/>
        <v>3.8551401869158876E-2</v>
      </c>
      <c r="AA51" s="172">
        <f t="shared" si="99"/>
        <v>-0.1214528944381383</v>
      </c>
      <c r="AB51" s="172">
        <f t="shared" si="100"/>
        <v>-3.3357351340588794E-2</v>
      </c>
      <c r="AC51" s="172">
        <f t="shared" si="158"/>
        <v>0.15625</v>
      </c>
      <c r="AD51" s="172">
        <f t="shared" ref="AD51" si="178">(E51-E55)/E55</f>
        <v>0.20129870129870131</v>
      </c>
      <c r="AE51" s="172">
        <f t="shared" si="101"/>
        <v>0.27835051546391754</v>
      </c>
      <c r="AF51" s="172">
        <f t="shared" si="102"/>
        <v>-7.8014184397163122E-2</v>
      </c>
      <c r="AG51" s="172">
        <f t="shared" si="103"/>
        <v>0.48166666666666669</v>
      </c>
      <c r="AH51" s="172">
        <f t="shared" si="104"/>
        <v>0.3038839494618627</v>
      </c>
      <c r="AI51" s="172">
        <f t="shared" si="105"/>
        <v>-0.14900726197255787</v>
      </c>
      <c r="AJ51" s="172">
        <f t="shared" si="160"/>
        <v>0.33574007220216606</v>
      </c>
      <c r="AK51" s="172">
        <f t="shared" ref="AK51" si="179">(E51-E103)/E103</f>
        <v>0.48</v>
      </c>
      <c r="AM51" s="210"/>
      <c r="AN51" s="210"/>
      <c r="AO51" s="210"/>
      <c r="AP51" s="210"/>
      <c r="AQ51" s="210"/>
      <c r="AR51" s="210"/>
      <c r="AS51" s="210"/>
      <c r="AT51" s="210"/>
      <c r="AU51" s="210"/>
      <c r="AV51" s="210"/>
      <c r="AW51" s="210"/>
    </row>
    <row r="52" spans="1:49" x14ac:dyDescent="0.3">
      <c r="A52" s="169">
        <v>45884</v>
      </c>
      <c r="B52" s="159">
        <f t="shared" si="106"/>
        <v>2025</v>
      </c>
      <c r="C52" s="159">
        <f t="shared" si="107"/>
        <v>8</v>
      </c>
      <c r="D52" s="190">
        <f>AVERAGEIFS(data!G:G,data!A:A,'weekly-forecast'!B52,data!B:B,'weekly-forecast'!C52)</f>
        <v>370</v>
      </c>
      <c r="E52" s="190">
        <f>AVERAGEIFS(data!F:F,data!A:A,'weekly-forecast'!B52,data!B:B,'weekly-forecast'!C52)</f>
        <v>370</v>
      </c>
      <c r="F52" s="190">
        <v>313.5</v>
      </c>
      <c r="G52" s="190">
        <v>325</v>
      </c>
      <c r="H52" s="190">
        <v>447</v>
      </c>
      <c r="I52" s="170">
        <v>2.8693999999999997</v>
      </c>
      <c r="J52" s="190">
        <v>67.244285714285709</v>
      </c>
      <c r="K52" s="201"/>
      <c r="L52" s="201"/>
      <c r="M52" s="201"/>
      <c r="N52" s="201"/>
      <c r="O52" s="201"/>
      <c r="P52" s="201"/>
      <c r="Q52" s="171">
        <f t="shared" si="108"/>
        <v>5.378151260504202E-2</v>
      </c>
      <c r="R52" s="171">
        <f t="shared" si="109"/>
        <v>0</v>
      </c>
      <c r="S52" s="171">
        <f t="shared" si="110"/>
        <v>-1.1173184357541898E-3</v>
      </c>
      <c r="T52" s="171">
        <f t="shared" si="111"/>
        <v>-4.8355001326611954E-2</v>
      </c>
      <c r="U52" s="171">
        <f t="shared" si="112"/>
        <v>0</v>
      </c>
      <c r="V52" s="171">
        <f t="shared" ref="V52:V83" si="180">(D52-D53)/D53</f>
        <v>0</v>
      </c>
      <c r="W52" s="171">
        <f t="shared" si="113"/>
        <v>0</v>
      </c>
      <c r="X52" s="172">
        <f t="shared" si="96"/>
        <v>-2.0312500000000001E-2</v>
      </c>
      <c r="Y52" s="172">
        <f t="shared" si="97"/>
        <v>5.6910569105691054E-2</v>
      </c>
      <c r="Z52" s="172">
        <f t="shared" si="98"/>
        <v>9.0293453724604959E-3</v>
      </c>
      <c r="AA52" s="172">
        <f t="shared" si="99"/>
        <v>-0.18700062333541118</v>
      </c>
      <c r="AB52" s="172">
        <f t="shared" si="100"/>
        <v>-3.3357351340588794E-2</v>
      </c>
      <c r="AC52" s="172">
        <f t="shared" si="158"/>
        <v>0.15625</v>
      </c>
      <c r="AD52" s="172">
        <f t="shared" ref="AD52" si="181">(E52-E56)/E56</f>
        <v>0.20129870129870131</v>
      </c>
      <c r="AE52" s="172">
        <f t="shared" si="101"/>
        <v>0.29278350515463919</v>
      </c>
      <c r="AF52" s="172">
        <f t="shared" si="102"/>
        <v>-8.4507042253521125E-2</v>
      </c>
      <c r="AG52" s="172">
        <f t="shared" si="103"/>
        <v>0.49</v>
      </c>
      <c r="AH52" s="172">
        <f t="shared" si="104"/>
        <v>0.31914306730415593</v>
      </c>
      <c r="AI52" s="172">
        <f t="shared" si="105"/>
        <v>-0.14900726197255787</v>
      </c>
      <c r="AJ52" s="172">
        <f t="shared" si="160"/>
        <v>0.33574007220216606</v>
      </c>
      <c r="AK52" s="172">
        <f t="shared" ref="AK52" si="182">(E52-E104)/E104</f>
        <v>0.48</v>
      </c>
      <c r="AM52" s="210"/>
      <c r="AN52" s="210"/>
      <c r="AO52" s="210"/>
      <c r="AP52" s="210"/>
      <c r="AQ52" s="210"/>
      <c r="AR52" s="210"/>
      <c r="AS52" s="210"/>
      <c r="AT52" s="210"/>
      <c r="AU52" s="210"/>
      <c r="AV52" s="210"/>
      <c r="AW52" s="210"/>
    </row>
    <row r="53" spans="1:49" x14ac:dyDescent="0.3">
      <c r="A53" s="169">
        <v>45877</v>
      </c>
      <c r="B53" s="159">
        <f t="shared" si="106"/>
        <v>2025</v>
      </c>
      <c r="C53" s="159">
        <f t="shared" si="107"/>
        <v>8</v>
      </c>
      <c r="D53" s="190">
        <f>AVERAGEIFS(data!G:G,data!A:A,'weekly-forecast'!B53,data!B:B,'weekly-forecast'!C53)</f>
        <v>370</v>
      </c>
      <c r="E53" s="190">
        <f>AVERAGEIFS(data!F:F,data!A:A,'weekly-forecast'!B53,data!B:B,'weekly-forecast'!C53)</f>
        <v>370</v>
      </c>
      <c r="F53" s="190">
        <v>297.5</v>
      </c>
      <c r="G53" s="190">
        <v>325</v>
      </c>
      <c r="H53" s="190">
        <v>447.5</v>
      </c>
      <c r="I53" s="170">
        <v>3.0152000000000001</v>
      </c>
      <c r="J53" s="190">
        <v>67.244285714285709</v>
      </c>
      <c r="K53" s="201"/>
      <c r="L53" s="201"/>
      <c r="M53" s="201"/>
      <c r="N53" s="201"/>
      <c r="O53" s="201"/>
      <c r="P53" s="201"/>
      <c r="Q53" s="171">
        <f t="shared" si="108"/>
        <v>-6.2992125984251968E-2</v>
      </c>
      <c r="R53" s="171">
        <f t="shared" si="109"/>
        <v>3.1746031746031744E-2</v>
      </c>
      <c r="S53" s="171">
        <f t="shared" si="110"/>
        <v>1.7045454545454544E-2</v>
      </c>
      <c r="T53" s="171">
        <f t="shared" si="111"/>
        <v>-1.4833692739985586E-2</v>
      </c>
      <c r="U53" s="171">
        <f t="shared" si="112"/>
        <v>0</v>
      </c>
      <c r="V53" s="171">
        <f t="shared" si="180"/>
        <v>0</v>
      </c>
      <c r="W53" s="171">
        <f t="shared" si="113"/>
        <v>0</v>
      </c>
      <c r="X53" s="172">
        <f t="shared" si="96"/>
        <v>-3.2520325203252036E-2</v>
      </c>
      <c r="Y53" s="172">
        <f t="shared" si="97"/>
        <v>5.6910569105691054E-2</v>
      </c>
      <c r="Z53" s="172">
        <f t="shared" si="98"/>
        <v>0.10493827160493827</v>
      </c>
      <c r="AA53" s="172">
        <f t="shared" si="99"/>
        <v>-9.2736354335921117E-2</v>
      </c>
      <c r="AB53" s="172">
        <f t="shared" si="100"/>
        <v>-3.3357351340588794E-2</v>
      </c>
      <c r="AC53" s="172">
        <f t="shared" si="158"/>
        <v>0.15625</v>
      </c>
      <c r="AD53" s="172">
        <f t="shared" ref="AD53" si="183">(E53-E57)/E57</f>
        <v>0.20129870129870131</v>
      </c>
      <c r="AE53" s="172">
        <f t="shared" si="101"/>
        <v>0.27956989247311825</v>
      </c>
      <c r="AF53" s="172">
        <f t="shared" si="102"/>
        <v>-8.4507042253521125E-2</v>
      </c>
      <c r="AG53" s="172">
        <f t="shared" si="103"/>
        <v>0.46721311475409838</v>
      </c>
      <c r="AH53" s="172">
        <f t="shared" si="104"/>
        <v>0.45887362105670626</v>
      </c>
      <c r="AI53" s="172">
        <f t="shared" si="105"/>
        <v>-0.14900726197255787</v>
      </c>
      <c r="AJ53" s="172">
        <f t="shared" si="160"/>
        <v>0.33574007220216606</v>
      </c>
      <c r="AK53" s="172">
        <f t="shared" ref="AK53" si="184">(E53-E105)/E105</f>
        <v>0.48</v>
      </c>
      <c r="AM53" s="210"/>
      <c r="AN53" s="210"/>
      <c r="AO53" s="210"/>
      <c r="AP53" s="210"/>
      <c r="AQ53" s="210"/>
      <c r="AR53" s="210"/>
      <c r="AS53" s="210"/>
      <c r="AT53" s="210"/>
      <c r="AU53" s="210"/>
      <c r="AV53" s="210"/>
      <c r="AW53" s="210"/>
    </row>
    <row r="54" spans="1:49" x14ac:dyDescent="0.3">
      <c r="A54" s="169">
        <v>45870</v>
      </c>
      <c r="B54" s="159">
        <f t="shared" si="106"/>
        <v>2025</v>
      </c>
      <c r="C54" s="159">
        <f t="shared" si="107"/>
        <v>8</v>
      </c>
      <c r="D54" s="190">
        <f>AVERAGEIFS(data!G:G,data!A:A,'weekly-forecast'!B54,data!B:B,'weekly-forecast'!C54)</f>
        <v>370</v>
      </c>
      <c r="E54" s="190">
        <f>AVERAGEIFS(data!F:F,data!A:A,'weekly-forecast'!B54,data!B:B,'weekly-forecast'!C54)</f>
        <v>370</v>
      </c>
      <c r="F54" s="190">
        <v>317.5</v>
      </c>
      <c r="G54" s="190">
        <v>315</v>
      </c>
      <c r="H54" s="190">
        <v>440</v>
      </c>
      <c r="I54" s="170">
        <v>3.0606</v>
      </c>
      <c r="J54" s="190">
        <v>67.244285714285709</v>
      </c>
      <c r="K54" s="202"/>
      <c r="L54" s="202"/>
      <c r="M54" s="202"/>
      <c r="N54" s="202"/>
      <c r="O54" s="202"/>
      <c r="P54" s="202"/>
      <c r="Q54" s="171">
        <f t="shared" si="108"/>
        <v>-7.8125E-3</v>
      </c>
      <c r="R54" s="171">
        <f t="shared" si="109"/>
        <v>0</v>
      </c>
      <c r="S54" s="171">
        <f t="shared" si="110"/>
        <v>2.8037383177570093E-2</v>
      </c>
      <c r="T54" s="171">
        <f t="shared" si="111"/>
        <v>-3.49981082103668E-2</v>
      </c>
      <c r="U54" s="171">
        <f t="shared" si="112"/>
        <v>-3.3357351340588794E-2</v>
      </c>
      <c r="V54" s="171">
        <f t="shared" si="180"/>
        <v>0.15625</v>
      </c>
      <c r="W54" s="171">
        <f t="shared" si="113"/>
        <v>0.20129870129870131</v>
      </c>
      <c r="X54" s="172">
        <f t="shared" si="96"/>
        <v>3.2520325203252036E-2</v>
      </c>
      <c r="Y54" s="172">
        <f t="shared" si="97"/>
        <v>8.6206896551724144E-2</v>
      </c>
      <c r="Z54" s="172">
        <f t="shared" si="98"/>
        <v>0.11392405063291139</v>
      </c>
      <c r="AA54" s="172">
        <f t="shared" si="99"/>
        <v>-0.11080766995932602</v>
      </c>
      <c r="AB54" s="172">
        <f t="shared" si="100"/>
        <v>-3.3357351340588794E-2</v>
      </c>
      <c r="AC54" s="172">
        <f t="shared" si="158"/>
        <v>0.15625</v>
      </c>
      <c r="AD54" s="172">
        <f t="shared" ref="AD54" si="185">(E54-E58)/E58</f>
        <v>0.20129870129870131</v>
      </c>
      <c r="AE54" s="172">
        <f t="shared" si="101"/>
        <v>0.38043478260869568</v>
      </c>
      <c r="AF54" s="172">
        <f t="shared" si="102"/>
        <v>3.2786885245901641E-2</v>
      </c>
      <c r="AG54" s="172">
        <f t="shared" si="103"/>
        <v>0.43089430894308944</v>
      </c>
      <c r="AH54" s="172">
        <f t="shared" si="104"/>
        <v>0.52968812475010008</v>
      </c>
      <c r="AI54" s="172">
        <f t="shared" si="105"/>
        <v>-0.14900726197255787</v>
      </c>
      <c r="AJ54" s="172">
        <f t="shared" si="160"/>
        <v>0.33574007220216606</v>
      </c>
      <c r="AK54" s="172">
        <f t="shared" ref="AK54" si="186">(E54-E106)/E106</f>
        <v>0.48</v>
      </c>
      <c r="AM54" s="210"/>
      <c r="AN54" s="210"/>
      <c r="AO54" s="210"/>
      <c r="AP54" s="210"/>
      <c r="AQ54" s="210"/>
      <c r="AR54" s="210"/>
      <c r="AS54" s="210"/>
      <c r="AT54" s="210"/>
      <c r="AU54" s="210"/>
      <c r="AV54" s="210"/>
      <c r="AW54" s="210"/>
    </row>
    <row r="55" spans="1:49" x14ac:dyDescent="0.3">
      <c r="A55" s="169">
        <v>45863</v>
      </c>
      <c r="B55" s="159">
        <f t="shared" si="106"/>
        <v>2025</v>
      </c>
      <c r="C55" s="159">
        <f t="shared" si="107"/>
        <v>7</v>
      </c>
      <c r="D55" s="190">
        <f>AVERAGEIFS(data!G:G,data!A:A,'weekly-forecast'!B55,data!B:B,'weekly-forecast'!C55)</f>
        <v>320</v>
      </c>
      <c r="E55" s="190">
        <f>AVERAGEIFS(data!F:F,data!A:A,'weekly-forecast'!B55,data!B:B,'weekly-forecast'!C55)</f>
        <v>308</v>
      </c>
      <c r="F55" s="190">
        <v>320</v>
      </c>
      <c r="G55" s="190">
        <v>315</v>
      </c>
      <c r="H55" s="190">
        <v>428</v>
      </c>
      <c r="I55" s="170">
        <v>3.1715999999999993</v>
      </c>
      <c r="J55" s="190">
        <v>69.564782608695651</v>
      </c>
      <c r="K55" s="200">
        <f>AVERAGE(D55:D58)</f>
        <v>320</v>
      </c>
      <c r="L55" s="200">
        <f t="shared" ref="L55:P55" si="187">AVERAGE(E55:E58)</f>
        <v>308</v>
      </c>
      <c r="M55" s="200">
        <f t="shared" si="187"/>
        <v>313.75</v>
      </c>
      <c r="N55" s="200">
        <f t="shared" si="187"/>
        <v>305</v>
      </c>
      <c r="O55" s="200">
        <f t="shared" si="187"/>
        <v>417.75</v>
      </c>
      <c r="P55" s="200">
        <f t="shared" si="187"/>
        <v>3.3666</v>
      </c>
      <c r="Q55" s="171">
        <f t="shared" si="108"/>
        <v>0</v>
      </c>
      <c r="R55" s="171">
        <f t="shared" si="109"/>
        <v>2.4390243902439025E-2</v>
      </c>
      <c r="S55" s="171">
        <f t="shared" si="110"/>
        <v>-3.3860045146726865E-2</v>
      </c>
      <c r="T55" s="171">
        <f t="shared" si="111"/>
        <v>-0.10137700459001546</v>
      </c>
      <c r="U55" s="171">
        <f t="shared" si="112"/>
        <v>0</v>
      </c>
      <c r="V55" s="171">
        <f t="shared" si="180"/>
        <v>0</v>
      </c>
      <c r="W55" s="171">
        <f t="shared" si="113"/>
        <v>0</v>
      </c>
      <c r="X55" s="172">
        <f t="shared" si="96"/>
        <v>6.6666666666666666E-2</v>
      </c>
      <c r="Y55" s="172">
        <f t="shared" si="97"/>
        <v>8.6206896551724144E-2</v>
      </c>
      <c r="Z55" s="172">
        <f t="shared" si="98"/>
        <v>-1.0404624277456647E-2</v>
      </c>
      <c r="AA55" s="172">
        <f t="shared" si="99"/>
        <v>-0.10107136783629077</v>
      </c>
      <c r="AB55" s="172">
        <f t="shared" si="100"/>
        <v>-4.0357553398541477E-3</v>
      </c>
      <c r="AC55" s="172">
        <f t="shared" si="158"/>
        <v>1.5873015873015872E-2</v>
      </c>
      <c r="AD55" s="172">
        <f t="shared" ref="AD55" si="188">(E55-E59)/E59</f>
        <v>0</v>
      </c>
      <c r="AE55" s="172">
        <f t="shared" si="101"/>
        <v>0.43820224719101125</v>
      </c>
      <c r="AF55" s="172">
        <f t="shared" si="102"/>
        <v>3.2786885245901641E-2</v>
      </c>
      <c r="AG55" s="172">
        <f t="shared" si="103"/>
        <v>0.39186991869918697</v>
      </c>
      <c r="AH55" s="172">
        <f t="shared" si="104"/>
        <v>0.49575551782682509</v>
      </c>
      <c r="AI55" s="172">
        <f t="shared" si="105"/>
        <v>-0.17232763615295474</v>
      </c>
      <c r="AJ55" s="172">
        <f t="shared" si="160"/>
        <v>0.17647058823529413</v>
      </c>
      <c r="AK55" s="172">
        <f t="shared" ref="AK55" si="189">(E55-E107)/E107</f>
        <v>0.19379844961240311</v>
      </c>
      <c r="AM55" s="210"/>
      <c r="AN55" s="210"/>
      <c r="AO55" s="210"/>
      <c r="AP55" s="210"/>
      <c r="AQ55" s="210"/>
      <c r="AR55" s="210"/>
      <c r="AS55" s="210"/>
      <c r="AT55" s="210"/>
      <c r="AU55" s="210"/>
      <c r="AV55" s="210"/>
      <c r="AW55" s="210"/>
    </row>
    <row r="56" spans="1:49" x14ac:dyDescent="0.3">
      <c r="A56" s="169">
        <v>45856</v>
      </c>
      <c r="B56" s="159">
        <f t="shared" si="106"/>
        <v>2025</v>
      </c>
      <c r="C56" s="159">
        <f t="shared" si="107"/>
        <v>7</v>
      </c>
      <c r="D56" s="190">
        <f>AVERAGEIFS(data!G:G,data!A:A,'weekly-forecast'!B56,data!B:B,'weekly-forecast'!C56)</f>
        <v>320</v>
      </c>
      <c r="E56" s="190">
        <f>AVERAGEIFS(data!F:F,data!A:A,'weekly-forecast'!B56,data!B:B,'weekly-forecast'!C56)</f>
        <v>308</v>
      </c>
      <c r="F56" s="190">
        <v>320</v>
      </c>
      <c r="G56" s="190">
        <v>307.5</v>
      </c>
      <c r="H56" s="190">
        <v>443</v>
      </c>
      <c r="I56" s="170">
        <v>3.5293999999999999</v>
      </c>
      <c r="J56" s="190">
        <v>69.564782608695651</v>
      </c>
      <c r="K56" s="201"/>
      <c r="L56" s="201"/>
      <c r="M56" s="201"/>
      <c r="N56" s="201"/>
      <c r="O56" s="201"/>
      <c r="P56" s="201"/>
      <c r="Q56" s="171">
        <f t="shared" si="108"/>
        <v>4.065040650406504E-2</v>
      </c>
      <c r="R56" s="171">
        <f t="shared" si="109"/>
        <v>0</v>
      </c>
      <c r="S56" s="171">
        <f t="shared" si="110"/>
        <v>9.3827160493827166E-2</v>
      </c>
      <c r="T56" s="171">
        <f t="shared" si="111"/>
        <v>6.1984714449058044E-2</v>
      </c>
      <c r="U56" s="171">
        <f t="shared" si="112"/>
        <v>0</v>
      </c>
      <c r="V56" s="171">
        <f t="shared" si="180"/>
        <v>0</v>
      </c>
      <c r="W56" s="171">
        <f t="shared" si="113"/>
        <v>0</v>
      </c>
      <c r="X56" s="172">
        <f t="shared" si="96"/>
        <v>0.39130434782608697</v>
      </c>
      <c r="Y56" s="172">
        <f t="shared" si="97"/>
        <v>6.0344827586206899E-2</v>
      </c>
      <c r="Z56" s="172">
        <f t="shared" si="98"/>
        <v>0.1286624203821656</v>
      </c>
      <c r="AA56" s="172">
        <f t="shared" si="99"/>
        <v>-8.5351473922902668E-2</v>
      </c>
      <c r="AB56" s="172">
        <f t="shared" si="100"/>
        <v>-4.0357553398541477E-3</v>
      </c>
      <c r="AC56" s="172">
        <f t="shared" si="158"/>
        <v>1.5873015873015872E-2</v>
      </c>
      <c r="AD56" s="172">
        <f t="shared" ref="AD56" si="190">(E56-E60)/E60</f>
        <v>0</v>
      </c>
      <c r="AE56" s="172">
        <f t="shared" si="101"/>
        <v>0.43820224719101125</v>
      </c>
      <c r="AF56" s="172">
        <f t="shared" si="102"/>
        <v>8.1967213114754103E-3</v>
      </c>
      <c r="AG56" s="172">
        <f t="shared" si="103"/>
        <v>0.44065040650406506</v>
      </c>
      <c r="AH56" s="172">
        <f t="shared" si="104"/>
        <v>0.65948843332706386</v>
      </c>
      <c r="AI56" s="172">
        <f t="shared" si="105"/>
        <v>-0.17232763615295474</v>
      </c>
      <c r="AJ56" s="172">
        <f t="shared" si="160"/>
        <v>0.17647058823529413</v>
      </c>
      <c r="AK56" s="172">
        <f t="shared" ref="AK56" si="191">(E56-E108)/E108</f>
        <v>0.19379844961240311</v>
      </c>
      <c r="AM56" s="210"/>
      <c r="AN56" s="210"/>
      <c r="AO56" s="210"/>
      <c r="AP56" s="210"/>
      <c r="AQ56" s="210"/>
      <c r="AR56" s="210"/>
      <c r="AS56" s="210"/>
      <c r="AT56" s="210"/>
      <c r="AU56" s="210"/>
      <c r="AV56" s="210"/>
      <c r="AW56" s="210"/>
    </row>
    <row r="57" spans="1:49" x14ac:dyDescent="0.3">
      <c r="A57" s="169">
        <v>45849</v>
      </c>
      <c r="B57" s="159">
        <f t="shared" si="106"/>
        <v>2025</v>
      </c>
      <c r="C57" s="159">
        <f t="shared" si="107"/>
        <v>7</v>
      </c>
      <c r="D57" s="190">
        <f>AVERAGEIFS(data!G:G,data!A:A,'weekly-forecast'!B57,data!B:B,'weekly-forecast'!C57)</f>
        <v>320</v>
      </c>
      <c r="E57" s="190">
        <f>AVERAGEIFS(data!F:F,data!A:A,'weekly-forecast'!B57,data!B:B,'weekly-forecast'!C57)</f>
        <v>308</v>
      </c>
      <c r="F57" s="190">
        <v>307.5</v>
      </c>
      <c r="G57" s="190">
        <v>307.5</v>
      </c>
      <c r="H57" s="190">
        <v>405</v>
      </c>
      <c r="I57" s="170">
        <v>3.3234000000000004</v>
      </c>
      <c r="J57" s="190">
        <v>69.564782608695651</v>
      </c>
      <c r="K57" s="201"/>
      <c r="L57" s="201"/>
      <c r="M57" s="201"/>
      <c r="N57" s="201"/>
      <c r="O57" s="201"/>
      <c r="P57" s="201"/>
      <c r="Q57" s="171">
        <f t="shared" si="108"/>
        <v>0</v>
      </c>
      <c r="R57" s="171">
        <f t="shared" si="109"/>
        <v>6.0344827586206899E-2</v>
      </c>
      <c r="S57" s="171">
        <f t="shared" si="110"/>
        <v>2.5316455696202531E-2</v>
      </c>
      <c r="T57" s="171">
        <f t="shared" si="111"/>
        <v>-3.4456711214410171E-2</v>
      </c>
      <c r="U57" s="171">
        <f t="shared" si="112"/>
        <v>0</v>
      </c>
      <c r="V57" s="171">
        <f t="shared" si="180"/>
        <v>0</v>
      </c>
      <c r="W57" s="171">
        <f t="shared" si="113"/>
        <v>0</v>
      </c>
      <c r="X57" s="172">
        <f t="shared" si="96"/>
        <v>0.33695652173913043</v>
      </c>
      <c r="Y57" s="172">
        <f t="shared" si="97"/>
        <v>6.0344827586206899E-2</v>
      </c>
      <c r="Z57" s="172">
        <f t="shared" si="98"/>
        <v>0.14893617021276595</v>
      </c>
      <c r="AA57" s="172">
        <f t="shared" si="99"/>
        <v>-6.3725490196078177E-2</v>
      </c>
      <c r="AB57" s="172">
        <f t="shared" si="100"/>
        <v>-4.0357553398541477E-3</v>
      </c>
      <c r="AC57" s="172">
        <f t="shared" si="158"/>
        <v>1.5873015873015872E-2</v>
      </c>
      <c r="AD57" s="172">
        <f t="shared" ref="AD57" si="192">(E57-E61)/E61</f>
        <v>0</v>
      </c>
      <c r="AE57" s="172">
        <f t="shared" si="101"/>
        <v>0.36666666666666664</v>
      </c>
      <c r="AF57" s="172">
        <f t="shared" si="102"/>
        <v>8.1967213114754103E-3</v>
      </c>
      <c r="AG57" s="172">
        <f t="shared" si="103"/>
        <v>0.29599999999999999</v>
      </c>
      <c r="AH57" s="172">
        <f t="shared" si="104"/>
        <v>0.4280680646270198</v>
      </c>
      <c r="AI57" s="172">
        <f t="shared" si="105"/>
        <v>-0.17232763615295474</v>
      </c>
      <c r="AJ57" s="172">
        <f t="shared" si="160"/>
        <v>0.17647058823529413</v>
      </c>
      <c r="AK57" s="172">
        <f t="shared" ref="AK57" si="193">(E57-E109)/E109</f>
        <v>0.19379844961240311</v>
      </c>
      <c r="AM57" s="210"/>
      <c r="AN57" s="210"/>
      <c r="AO57" s="210"/>
      <c r="AP57" s="210"/>
      <c r="AQ57" s="210"/>
      <c r="AR57" s="210"/>
      <c r="AS57" s="210"/>
      <c r="AT57" s="210"/>
      <c r="AU57" s="210"/>
      <c r="AV57" s="210"/>
      <c r="AW57" s="210"/>
    </row>
    <row r="58" spans="1:49" x14ac:dyDescent="0.3">
      <c r="A58" s="169">
        <v>45842</v>
      </c>
      <c r="B58" s="159">
        <f t="shared" si="106"/>
        <v>2025</v>
      </c>
      <c r="C58" s="159">
        <f t="shared" si="107"/>
        <v>7</v>
      </c>
      <c r="D58" s="190">
        <f>AVERAGEIFS(data!G:G,data!A:A,'weekly-forecast'!B58,data!B:B,'weekly-forecast'!C58)</f>
        <v>320</v>
      </c>
      <c r="E58" s="190">
        <f>AVERAGEIFS(data!F:F,data!A:A,'weekly-forecast'!B58,data!B:B,'weekly-forecast'!C58)</f>
        <v>308</v>
      </c>
      <c r="F58" s="190">
        <v>307.5</v>
      </c>
      <c r="G58" s="190">
        <v>290</v>
      </c>
      <c r="H58" s="190">
        <v>395</v>
      </c>
      <c r="I58" s="170">
        <v>3.4420000000000002</v>
      </c>
      <c r="J58" s="190">
        <v>69.564782608695651</v>
      </c>
      <c r="K58" s="202"/>
      <c r="L58" s="202"/>
      <c r="M58" s="202"/>
      <c r="N58" s="202"/>
      <c r="O58" s="202"/>
      <c r="P58" s="202"/>
      <c r="Q58" s="171">
        <f t="shared" si="108"/>
        <v>2.5000000000000001E-2</v>
      </c>
      <c r="R58" s="171">
        <f t="shared" si="109"/>
        <v>0</v>
      </c>
      <c r="S58" s="171">
        <f t="shared" si="110"/>
        <v>-8.6705202312138727E-2</v>
      </c>
      <c r="T58" s="171">
        <f t="shared" si="111"/>
        <v>-2.4431721557734896E-2</v>
      </c>
      <c r="U58" s="171">
        <f t="shared" si="112"/>
        <v>-4.0357553398541477E-3</v>
      </c>
      <c r="V58" s="171">
        <f t="shared" si="180"/>
        <v>1.5873015873015872E-2</v>
      </c>
      <c r="W58" s="171">
        <f t="shared" si="113"/>
        <v>0</v>
      </c>
      <c r="X58" s="172">
        <f t="shared" si="96"/>
        <v>0.41379310344827586</v>
      </c>
      <c r="Y58" s="172">
        <f t="shared" si="97"/>
        <v>0</v>
      </c>
      <c r="Z58" s="172">
        <f t="shared" si="98"/>
        <v>0.12056737588652482</v>
      </c>
      <c r="AA58" s="172">
        <f t="shared" si="99"/>
        <v>-7.4382832248695671E-2</v>
      </c>
      <c r="AB58" s="172">
        <f t="shared" si="100"/>
        <v>-4.0357553398541477E-3</v>
      </c>
      <c r="AC58" s="172">
        <f t="shared" si="158"/>
        <v>1.5873015873015872E-2</v>
      </c>
      <c r="AD58" s="172">
        <f t="shared" ref="AD58" si="194">(E58-E62)/E62</f>
        <v>0</v>
      </c>
      <c r="AE58" s="172">
        <f t="shared" si="101"/>
        <v>0.39772727272727271</v>
      </c>
      <c r="AF58" s="172">
        <f t="shared" si="102"/>
        <v>-4.9180327868852458E-2</v>
      </c>
      <c r="AG58" s="172">
        <f t="shared" si="103"/>
        <v>0.28455284552845528</v>
      </c>
      <c r="AH58" s="172">
        <f t="shared" si="104"/>
        <v>0.42673575129533681</v>
      </c>
      <c r="AI58" s="172">
        <f t="shared" si="105"/>
        <v>-0.17232763615295474</v>
      </c>
      <c r="AJ58" s="172">
        <f t="shared" si="160"/>
        <v>0.17647058823529413</v>
      </c>
      <c r="AK58" s="172">
        <f t="shared" ref="AK58" si="195">(E58-E110)/E110</f>
        <v>0.19379844961240311</v>
      </c>
      <c r="AM58" s="130"/>
      <c r="AN58" s="130"/>
      <c r="AO58" s="130"/>
      <c r="AP58" s="130"/>
      <c r="AQ58" s="130"/>
      <c r="AR58" s="130"/>
      <c r="AS58" s="130"/>
      <c r="AT58" s="130"/>
      <c r="AU58" s="130"/>
      <c r="AV58" s="130"/>
      <c r="AW58" s="130"/>
    </row>
    <row r="59" spans="1:49" x14ac:dyDescent="0.3">
      <c r="A59" s="169">
        <v>45835</v>
      </c>
      <c r="B59" s="159">
        <f t="shared" si="106"/>
        <v>2025</v>
      </c>
      <c r="C59" s="159">
        <f t="shared" si="107"/>
        <v>6</v>
      </c>
      <c r="D59" s="190">
        <f>AVERAGEIFS(data!G:G,data!A:A,'weekly-forecast'!B59,data!B:B,'weekly-forecast'!C59)</f>
        <v>315</v>
      </c>
      <c r="E59" s="190">
        <f>AVERAGEIFS(data!F:F,data!A:A,'weekly-forecast'!B59,data!B:B,'weekly-forecast'!C59)</f>
        <v>308</v>
      </c>
      <c r="F59" s="190">
        <v>300</v>
      </c>
      <c r="G59" s="190">
        <v>290</v>
      </c>
      <c r="H59" s="190">
        <v>432.5</v>
      </c>
      <c r="I59" s="170">
        <v>3.5282000000000004</v>
      </c>
      <c r="J59" s="190">
        <v>69.846666666666664</v>
      </c>
      <c r="K59" s="200">
        <f>AVERAGE(D59:D62)</f>
        <v>315</v>
      </c>
      <c r="L59" s="200">
        <f t="shared" ref="L59:P59" si="196">AVERAGE(E59:E62)</f>
        <v>308</v>
      </c>
      <c r="M59" s="200">
        <f t="shared" si="196"/>
        <v>244.375</v>
      </c>
      <c r="N59" s="200">
        <f t="shared" si="196"/>
        <v>290</v>
      </c>
      <c r="O59" s="200">
        <f t="shared" si="196"/>
        <v>382.5</v>
      </c>
      <c r="P59" s="200">
        <f t="shared" si="196"/>
        <v>3.6637875000000002</v>
      </c>
      <c r="Q59" s="171">
        <f t="shared" si="108"/>
        <v>0.30434782608695654</v>
      </c>
      <c r="R59" s="171">
        <f t="shared" si="109"/>
        <v>0</v>
      </c>
      <c r="S59" s="171">
        <f t="shared" si="110"/>
        <v>0.10191082802547771</v>
      </c>
      <c r="T59" s="171">
        <f t="shared" si="111"/>
        <v>-8.5662455458373851E-2</v>
      </c>
      <c r="U59" s="171">
        <f t="shared" si="112"/>
        <v>0</v>
      </c>
      <c r="V59" s="171">
        <f t="shared" si="180"/>
        <v>0</v>
      </c>
      <c r="W59" s="171">
        <f t="shared" si="113"/>
        <v>0</v>
      </c>
      <c r="X59" s="172">
        <f t="shared" si="96"/>
        <v>0.42857142857142855</v>
      </c>
      <c r="Y59" s="172">
        <f t="shared" si="97"/>
        <v>-4.1322314049586778E-2</v>
      </c>
      <c r="Z59" s="172">
        <f t="shared" si="98"/>
        <v>0.21830985915492956</v>
      </c>
      <c r="AA59" s="172">
        <f t="shared" si="99"/>
        <v>3.9923366001031767E-2</v>
      </c>
      <c r="AB59" s="172">
        <f t="shared" si="100"/>
        <v>8.9775230962714947E-2</v>
      </c>
      <c r="AC59" s="172">
        <f t="shared" si="158"/>
        <v>-3.0769230769230771E-2</v>
      </c>
      <c r="AD59" s="172">
        <f t="shared" ref="AD59" si="197">(E59-E63)/E63</f>
        <v>-4.0498442367601244E-2</v>
      </c>
      <c r="AE59" s="172">
        <f t="shared" si="101"/>
        <v>0.37931034482758619</v>
      </c>
      <c r="AF59" s="172">
        <f t="shared" si="102"/>
        <v>-4.9180327868852458E-2</v>
      </c>
      <c r="AG59" s="172">
        <f t="shared" si="103"/>
        <v>0.4065040650406504</v>
      </c>
      <c r="AH59" s="172">
        <f t="shared" si="104"/>
        <v>0.30858244937319201</v>
      </c>
      <c r="AI59" s="172">
        <f t="shared" si="105"/>
        <v>-0.15763660666726975</v>
      </c>
      <c r="AJ59" s="172">
        <f t="shared" si="160"/>
        <v>0.16666666666666666</v>
      </c>
      <c r="AK59" s="172">
        <f t="shared" ref="AK59" si="198">(E59-E111)/E111</f>
        <v>0.33913043478260868</v>
      </c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</row>
    <row r="60" spans="1:49" x14ac:dyDescent="0.3">
      <c r="A60" s="169">
        <v>45828</v>
      </c>
      <c r="B60" s="159">
        <f t="shared" si="106"/>
        <v>2025</v>
      </c>
      <c r="C60" s="159">
        <f t="shared" si="107"/>
        <v>6</v>
      </c>
      <c r="D60" s="190">
        <f>AVERAGEIFS(data!G:G,data!A:A,'weekly-forecast'!B60,data!B:B,'weekly-forecast'!C60)</f>
        <v>315</v>
      </c>
      <c r="E60" s="190">
        <f>AVERAGEIFS(data!F:F,data!A:A,'weekly-forecast'!B60,data!B:B,'weekly-forecast'!C60)</f>
        <v>308</v>
      </c>
      <c r="F60" s="190">
        <v>230</v>
      </c>
      <c r="G60" s="190">
        <v>290</v>
      </c>
      <c r="H60" s="190">
        <v>392.5</v>
      </c>
      <c r="I60" s="170">
        <v>3.8587500000000006</v>
      </c>
      <c r="J60" s="190">
        <v>69.846666666666664</v>
      </c>
      <c r="K60" s="201"/>
      <c r="L60" s="201"/>
      <c r="M60" s="201"/>
      <c r="N60" s="201"/>
      <c r="O60" s="201"/>
      <c r="P60" s="201"/>
      <c r="Q60" s="171">
        <f t="shared" si="108"/>
        <v>0</v>
      </c>
      <c r="R60" s="171">
        <f t="shared" si="109"/>
        <v>0</v>
      </c>
      <c r="S60" s="171">
        <f t="shared" si="110"/>
        <v>0.11347517730496454</v>
      </c>
      <c r="T60" s="171">
        <f t="shared" si="111"/>
        <v>8.7094320486815757E-2</v>
      </c>
      <c r="U60" s="171">
        <f t="shared" si="112"/>
        <v>0</v>
      </c>
      <c r="V60" s="171">
        <f t="shared" si="180"/>
        <v>0</v>
      </c>
      <c r="W60" s="171">
        <f t="shared" si="113"/>
        <v>0</v>
      </c>
      <c r="X60" s="172">
        <f t="shared" si="96"/>
        <v>5.7471264367816091E-2</v>
      </c>
      <c r="Y60" s="172">
        <f t="shared" si="97"/>
        <v>-4.1322314049586778E-2</v>
      </c>
      <c r="Z60" s="172">
        <f t="shared" si="98"/>
        <v>0.10563380281690141</v>
      </c>
      <c r="AA60" s="172">
        <f t="shared" si="99"/>
        <v>0.1696726280691119</v>
      </c>
      <c r="AB60" s="172">
        <f t="shared" si="100"/>
        <v>8.9775230962714947E-2</v>
      </c>
      <c r="AC60" s="172">
        <f t="shared" si="158"/>
        <v>-3.0769230769230771E-2</v>
      </c>
      <c r="AD60" s="172">
        <f t="shared" ref="AD60" si="199">(E60-E64)/E64</f>
        <v>-4.0498442367601244E-2</v>
      </c>
      <c r="AE60" s="172">
        <f t="shared" si="101"/>
        <v>6.9767441860465115E-2</v>
      </c>
      <c r="AF60" s="172">
        <f t="shared" si="102"/>
        <v>-4.9180327868852458E-2</v>
      </c>
      <c r="AG60" s="172">
        <f t="shared" si="103"/>
        <v>0.2975206611570248</v>
      </c>
      <c r="AH60" s="172">
        <f t="shared" si="104"/>
        <v>0.38517454904424314</v>
      </c>
      <c r="AI60" s="172">
        <f t="shared" si="105"/>
        <v>-0.15763660666726975</v>
      </c>
      <c r="AJ60" s="172">
        <f t="shared" si="160"/>
        <v>0.16666666666666666</v>
      </c>
      <c r="AK60" s="172">
        <f t="shared" ref="AK60" si="200">(E60-E112)/E112</f>
        <v>0.33913043478260868</v>
      </c>
    </row>
    <row r="61" spans="1:49" x14ac:dyDescent="0.3">
      <c r="A61" s="169">
        <v>45821</v>
      </c>
      <c r="B61" s="159">
        <f t="shared" si="106"/>
        <v>2025</v>
      </c>
      <c r="C61" s="159">
        <f t="shared" si="107"/>
        <v>6</v>
      </c>
      <c r="D61" s="190">
        <f>AVERAGEIFS(data!G:G,data!A:A,'weekly-forecast'!B61,data!B:B,'weekly-forecast'!C61)</f>
        <v>315</v>
      </c>
      <c r="E61" s="190">
        <f>AVERAGEIFS(data!F:F,data!A:A,'weekly-forecast'!B61,data!B:B,'weekly-forecast'!C61)</f>
        <v>308</v>
      </c>
      <c r="F61" s="190">
        <v>230</v>
      </c>
      <c r="G61" s="190">
        <v>290</v>
      </c>
      <c r="H61" s="190">
        <v>352.5</v>
      </c>
      <c r="I61" s="170">
        <v>3.5495999999999994</v>
      </c>
      <c r="J61" s="190">
        <v>69.846666666666664</v>
      </c>
      <c r="K61" s="201"/>
      <c r="L61" s="201"/>
      <c r="M61" s="201"/>
      <c r="N61" s="201"/>
      <c r="O61" s="201"/>
      <c r="P61" s="201"/>
      <c r="Q61" s="171">
        <f t="shared" si="108"/>
        <v>5.7471264367816091E-2</v>
      </c>
      <c r="R61" s="171">
        <f t="shared" si="109"/>
        <v>0</v>
      </c>
      <c r="S61" s="171">
        <f t="shared" si="110"/>
        <v>0</v>
      </c>
      <c r="T61" s="171">
        <f t="shared" si="111"/>
        <v>-4.5447211316086832E-2</v>
      </c>
      <c r="U61" s="171">
        <f t="shared" si="112"/>
        <v>0</v>
      </c>
      <c r="V61" s="171">
        <f t="shared" si="180"/>
        <v>0</v>
      </c>
      <c r="W61" s="171">
        <f t="shared" si="113"/>
        <v>0</v>
      </c>
      <c r="X61" s="172">
        <f t="shared" si="96"/>
        <v>6.9767441860465115E-2</v>
      </c>
      <c r="Y61" s="172">
        <f t="shared" si="97"/>
        <v>-4.1322314049586778E-2</v>
      </c>
      <c r="Z61" s="172">
        <f t="shared" si="98"/>
        <v>7.1428571428571426E-3</v>
      </c>
      <c r="AA61" s="172">
        <f t="shared" si="99"/>
        <v>1.5273725759395887E-2</v>
      </c>
      <c r="AB61" s="172">
        <f t="shared" si="100"/>
        <v>8.9775230962714947E-2</v>
      </c>
      <c r="AC61" s="172">
        <f t="shared" si="158"/>
        <v>-3.0769230769230771E-2</v>
      </c>
      <c r="AD61" s="172">
        <f t="shared" ref="AD61" si="201">(E61-E65)/E65</f>
        <v>-4.0498442367601244E-2</v>
      </c>
      <c r="AE61" s="172">
        <f t="shared" si="101"/>
        <v>0.19480519480519481</v>
      </c>
      <c r="AF61" s="172">
        <f t="shared" si="102"/>
        <v>4.5045045045045043E-2</v>
      </c>
      <c r="AG61" s="172">
        <f t="shared" si="103"/>
        <v>0.16528925619834711</v>
      </c>
      <c r="AH61" s="172">
        <f t="shared" si="104"/>
        <v>0.18954423592493277</v>
      </c>
      <c r="AI61" s="172">
        <f t="shared" si="105"/>
        <v>-0.15763660666726975</v>
      </c>
      <c r="AJ61" s="172">
        <f t="shared" si="160"/>
        <v>0.16666666666666666</v>
      </c>
      <c r="AK61" s="172">
        <f t="shared" ref="AK61" si="202">(E61-E113)/E113</f>
        <v>0.33913043478260868</v>
      </c>
    </row>
    <row r="62" spans="1:49" x14ac:dyDescent="0.3">
      <c r="A62" s="169">
        <v>45814</v>
      </c>
      <c r="B62" s="159">
        <f t="shared" si="106"/>
        <v>2025</v>
      </c>
      <c r="C62" s="159">
        <f t="shared" si="107"/>
        <v>6</v>
      </c>
      <c r="D62" s="190">
        <f>AVERAGEIFS(data!G:G,data!A:A,'weekly-forecast'!B62,data!B:B,'weekly-forecast'!C62)</f>
        <v>315</v>
      </c>
      <c r="E62" s="190">
        <f>AVERAGEIFS(data!F:F,data!A:A,'weekly-forecast'!B62,data!B:B,'weekly-forecast'!C62)</f>
        <v>308</v>
      </c>
      <c r="F62" s="190">
        <v>217.5</v>
      </c>
      <c r="G62" s="190">
        <v>290</v>
      </c>
      <c r="H62" s="190">
        <v>352.5</v>
      </c>
      <c r="I62" s="170">
        <v>3.7185999999999999</v>
      </c>
      <c r="J62" s="190">
        <v>69.846666666666664</v>
      </c>
      <c r="K62" s="202"/>
      <c r="L62" s="202"/>
      <c r="M62" s="202"/>
      <c r="N62" s="202"/>
      <c r="O62" s="202"/>
      <c r="P62" s="202"/>
      <c r="Q62" s="171">
        <f t="shared" si="108"/>
        <v>3.5714285714285712E-2</v>
      </c>
      <c r="R62" s="171">
        <f t="shared" si="109"/>
        <v>-4.1322314049586778E-2</v>
      </c>
      <c r="S62" s="171">
        <f t="shared" si="110"/>
        <v>-7.0422535211267607E-3</v>
      </c>
      <c r="T62" s="171">
        <f t="shared" si="111"/>
        <v>9.6043032937882244E-2</v>
      </c>
      <c r="U62" s="171">
        <f t="shared" si="112"/>
        <v>8.9775230962714947E-2</v>
      </c>
      <c r="V62" s="171">
        <f t="shared" si="180"/>
        <v>-3.0769230769230771E-2</v>
      </c>
      <c r="W62" s="171">
        <f t="shared" si="113"/>
        <v>-4.0498442367601244E-2</v>
      </c>
      <c r="X62" s="172">
        <f t="shared" si="96"/>
        <v>1.1627906976744186E-2</v>
      </c>
      <c r="Y62" s="172">
        <f t="shared" si="97"/>
        <v>-4.1322314049586778E-2</v>
      </c>
      <c r="Z62" s="172">
        <f t="shared" si="98"/>
        <v>1.4388489208633094E-2</v>
      </c>
      <c r="AA62" s="172">
        <f t="shared" si="99"/>
        <v>3.1740746906386945E-2</v>
      </c>
      <c r="AB62" s="172">
        <f t="shared" si="100"/>
        <v>8.9775230962714947E-2</v>
      </c>
      <c r="AC62" s="172">
        <f t="shared" si="158"/>
        <v>-3.0769230769230771E-2</v>
      </c>
      <c r="AD62" s="172">
        <f t="shared" ref="AD62" si="203">(E62-E66)/E66</f>
        <v>-4.0498442367601244E-2</v>
      </c>
      <c r="AE62" s="172">
        <f t="shared" si="101"/>
        <v>0.16</v>
      </c>
      <c r="AF62" s="172">
        <f t="shared" si="102"/>
        <v>4.5045045045045043E-2</v>
      </c>
      <c r="AG62" s="172">
        <f t="shared" si="103"/>
        <v>0.31775700934579437</v>
      </c>
      <c r="AH62" s="172">
        <f t="shared" si="104"/>
        <v>0.34361902008960815</v>
      </c>
      <c r="AI62" s="172">
        <f t="shared" si="105"/>
        <v>-0.15763660666726975</v>
      </c>
      <c r="AJ62" s="172">
        <f t="shared" si="160"/>
        <v>0.16666666666666666</v>
      </c>
      <c r="AK62" s="172">
        <f t="shared" ref="AK62" si="204">(E62-E114)/E114</f>
        <v>0.33913043478260868</v>
      </c>
    </row>
    <row r="63" spans="1:49" x14ac:dyDescent="0.3">
      <c r="A63" s="169">
        <v>45807</v>
      </c>
      <c r="B63" s="159">
        <f t="shared" si="106"/>
        <v>2025</v>
      </c>
      <c r="C63" s="159">
        <f t="shared" si="107"/>
        <v>5</v>
      </c>
      <c r="D63" s="190">
        <f>AVERAGEIFS(data!G:G,data!A:A,'weekly-forecast'!B63,data!B:B,'weekly-forecast'!C63)</f>
        <v>325</v>
      </c>
      <c r="E63" s="190">
        <f>AVERAGEIFS(data!F:F,data!A:A,'weekly-forecast'!B63,data!B:B,'weekly-forecast'!C63)</f>
        <v>321</v>
      </c>
      <c r="F63" s="190">
        <v>210</v>
      </c>
      <c r="G63" s="190">
        <v>302.5</v>
      </c>
      <c r="H63" s="190">
        <v>355</v>
      </c>
      <c r="I63" s="170">
        <v>3.3927499999999999</v>
      </c>
      <c r="J63" s="190">
        <v>64.092727272727274</v>
      </c>
      <c r="K63" s="200">
        <f>AVERAGE(D63:D67)</f>
        <v>325</v>
      </c>
      <c r="L63" s="200">
        <f t="shared" ref="L63:P63" si="205">AVERAGE(E63:E67)</f>
        <v>321</v>
      </c>
      <c r="M63" s="200">
        <f t="shared" si="205"/>
        <v>214.5</v>
      </c>
      <c r="N63" s="200">
        <f t="shared" si="205"/>
        <v>302.5</v>
      </c>
      <c r="O63" s="200">
        <f t="shared" si="205"/>
        <v>351</v>
      </c>
      <c r="P63" s="200">
        <f t="shared" si="205"/>
        <v>3.4380700000000006</v>
      </c>
      <c r="Q63" s="171">
        <f t="shared" si="108"/>
        <v>-3.4482758620689655E-2</v>
      </c>
      <c r="R63" s="171">
        <f t="shared" si="109"/>
        <v>0</v>
      </c>
      <c r="S63" s="171">
        <f t="shared" si="110"/>
        <v>0</v>
      </c>
      <c r="T63" s="171">
        <f t="shared" si="111"/>
        <v>2.8417702334040479E-2</v>
      </c>
      <c r="U63" s="171">
        <f t="shared" si="112"/>
        <v>0</v>
      </c>
      <c r="V63" s="171">
        <f t="shared" si="180"/>
        <v>0</v>
      </c>
      <c r="W63" s="171">
        <f t="shared" si="113"/>
        <v>0</v>
      </c>
      <c r="X63" s="172">
        <f t="shared" si="96"/>
        <v>-2.3255813953488372E-2</v>
      </c>
      <c r="Y63" s="172">
        <f t="shared" si="97"/>
        <v>0</v>
      </c>
      <c r="Z63" s="172">
        <f t="shared" si="98"/>
        <v>2.1582733812949641E-2</v>
      </c>
      <c r="AA63" s="172">
        <f t="shared" si="99"/>
        <v>-1.6037902418928188E-3</v>
      </c>
      <c r="AB63" s="172">
        <f t="shared" si="100"/>
        <v>0</v>
      </c>
      <c r="AC63" s="172">
        <f t="shared" si="158"/>
        <v>0</v>
      </c>
      <c r="AD63" s="172">
        <f t="shared" ref="AD63" si="206">(E63-E67)/E67</f>
        <v>0</v>
      </c>
      <c r="AE63" s="172">
        <f t="shared" si="101"/>
        <v>0.16666666666666666</v>
      </c>
      <c r="AF63" s="172">
        <f t="shared" si="102"/>
        <v>9.0090090090090086E-2</v>
      </c>
      <c r="AG63" s="172">
        <f t="shared" si="103"/>
        <v>0.36538461538461536</v>
      </c>
      <c r="AH63" s="172">
        <f t="shared" si="104"/>
        <v>0.32503417301308324</v>
      </c>
      <c r="AI63" s="172">
        <f t="shared" si="105"/>
        <v>-0.2282997281636196</v>
      </c>
      <c r="AJ63" s="172">
        <f t="shared" si="160"/>
        <v>8.3333333333333329E-2</v>
      </c>
      <c r="AK63" s="172">
        <f t="shared" ref="AK63" si="207">(E63-E115)/E115</f>
        <v>0.23461538461538461</v>
      </c>
    </row>
    <row r="64" spans="1:49" x14ac:dyDescent="0.3">
      <c r="A64" s="169">
        <v>45800</v>
      </c>
      <c r="B64" s="159">
        <f t="shared" si="106"/>
        <v>2025</v>
      </c>
      <c r="C64" s="159">
        <f t="shared" si="107"/>
        <v>5</v>
      </c>
      <c r="D64" s="190">
        <f>AVERAGEIFS(data!G:G,data!A:A,'weekly-forecast'!B64,data!B:B,'weekly-forecast'!C64)</f>
        <v>325</v>
      </c>
      <c r="E64" s="190">
        <f>AVERAGEIFS(data!F:F,data!A:A,'weekly-forecast'!B64,data!B:B,'weekly-forecast'!C64)</f>
        <v>321</v>
      </c>
      <c r="F64" s="190">
        <v>217.5</v>
      </c>
      <c r="G64" s="190">
        <v>302.5</v>
      </c>
      <c r="H64" s="190">
        <v>355</v>
      </c>
      <c r="I64" s="170">
        <v>3.2990000000000004</v>
      </c>
      <c r="J64" s="190">
        <v>64.092727272727274</v>
      </c>
      <c r="K64" s="201"/>
      <c r="L64" s="201"/>
      <c r="M64" s="201"/>
      <c r="N64" s="201"/>
      <c r="O64" s="201"/>
      <c r="P64" s="201"/>
      <c r="Q64" s="171">
        <f t="shared" si="108"/>
        <v>1.1627906976744186E-2</v>
      </c>
      <c r="R64" s="171">
        <f t="shared" si="109"/>
        <v>0</v>
      </c>
      <c r="S64" s="171">
        <f t="shared" si="110"/>
        <v>1.4285714285714285E-2</v>
      </c>
      <c r="T64" s="171">
        <f t="shared" si="111"/>
        <v>-5.6404095875521761E-2</v>
      </c>
      <c r="U64" s="171">
        <f t="shared" si="112"/>
        <v>0</v>
      </c>
      <c r="V64" s="171">
        <f t="shared" si="180"/>
        <v>0</v>
      </c>
      <c r="W64" s="171">
        <f t="shared" si="113"/>
        <v>0</v>
      </c>
      <c r="X64" s="172">
        <f t="shared" si="96"/>
        <v>-1.1363636363636364E-2</v>
      </c>
      <c r="Y64" s="172">
        <f t="shared" si="97"/>
        <v>0</v>
      </c>
      <c r="Z64" s="172">
        <f t="shared" si="98"/>
        <v>2.8985507246376812E-2</v>
      </c>
      <c r="AA64" s="172">
        <f t="shared" si="99"/>
        <v>0.10615611587982855</v>
      </c>
      <c r="AB64" s="172">
        <f t="shared" si="100"/>
        <v>-4.2352621570225603E-2</v>
      </c>
      <c r="AC64" s="172">
        <f t="shared" si="158"/>
        <v>3.1746031746031744E-2</v>
      </c>
      <c r="AD64" s="172">
        <f t="shared" ref="AD64" si="208">(E64-E68)/E68</f>
        <v>5.2459016393442623E-2</v>
      </c>
      <c r="AE64" s="172">
        <f t="shared" si="101"/>
        <v>0.20833333333333334</v>
      </c>
      <c r="AF64" s="172">
        <f t="shared" si="102"/>
        <v>9.0090090090090086E-2</v>
      </c>
      <c r="AG64" s="172">
        <f t="shared" si="103"/>
        <v>0.46391752577319589</v>
      </c>
      <c r="AH64" s="172">
        <f t="shared" si="104"/>
        <v>0.22721523696153587</v>
      </c>
      <c r="AI64" s="172">
        <f t="shared" si="105"/>
        <v>-0.2282997281636196</v>
      </c>
      <c r="AJ64" s="172">
        <f t="shared" si="160"/>
        <v>8.3333333333333329E-2</v>
      </c>
      <c r="AK64" s="172">
        <f t="shared" ref="AK64" si="209">(E64-E116)/E116</f>
        <v>0.23461538461538461</v>
      </c>
    </row>
    <row r="65" spans="1:37" x14ac:dyDescent="0.3">
      <c r="A65" s="169">
        <v>45793</v>
      </c>
      <c r="B65" s="159">
        <f t="shared" si="106"/>
        <v>2025</v>
      </c>
      <c r="C65" s="159">
        <f t="shared" si="107"/>
        <v>5</v>
      </c>
      <c r="D65" s="190">
        <f>AVERAGEIFS(data!G:G,data!A:A,'weekly-forecast'!B65,data!B:B,'weekly-forecast'!C65)</f>
        <v>325</v>
      </c>
      <c r="E65" s="190">
        <f>AVERAGEIFS(data!F:F,data!A:A,'weekly-forecast'!B65,data!B:B,'weekly-forecast'!C65)</f>
        <v>321</v>
      </c>
      <c r="F65" s="190">
        <v>215</v>
      </c>
      <c r="G65" s="190">
        <v>302.5</v>
      </c>
      <c r="H65" s="190">
        <v>350</v>
      </c>
      <c r="I65" s="170">
        <v>3.4961999999999995</v>
      </c>
      <c r="J65" s="190">
        <v>64.092727272727274</v>
      </c>
      <c r="K65" s="201"/>
      <c r="L65" s="201"/>
      <c r="M65" s="201"/>
      <c r="N65" s="201"/>
      <c r="O65" s="201"/>
      <c r="P65" s="201"/>
      <c r="Q65" s="171">
        <f t="shared" si="108"/>
        <v>0</v>
      </c>
      <c r="R65" s="171">
        <f t="shared" si="109"/>
        <v>0</v>
      </c>
      <c r="S65" s="171">
        <f t="shared" si="110"/>
        <v>7.1942446043165471E-3</v>
      </c>
      <c r="T65" s="171">
        <f t="shared" si="111"/>
        <v>-2.9965040785750109E-2</v>
      </c>
      <c r="U65" s="171">
        <f t="shared" si="112"/>
        <v>0</v>
      </c>
      <c r="V65" s="171">
        <f t="shared" si="180"/>
        <v>0</v>
      </c>
      <c r="W65" s="171">
        <f t="shared" si="113"/>
        <v>0</v>
      </c>
      <c r="X65" s="172">
        <f t="shared" si="96"/>
        <v>-5.4945054945054944E-2</v>
      </c>
      <c r="Y65" s="172">
        <f t="shared" si="97"/>
        <v>0</v>
      </c>
      <c r="Z65" s="172">
        <f t="shared" si="98"/>
        <v>1.4492753623188406E-2</v>
      </c>
      <c r="AA65" s="172">
        <f t="shared" si="99"/>
        <v>6.3806481058877013E-2</v>
      </c>
      <c r="AB65" s="172">
        <f t="shared" si="100"/>
        <v>-4.2352621570225603E-2</v>
      </c>
      <c r="AC65" s="172">
        <f t="shared" si="158"/>
        <v>3.1746031746031744E-2</v>
      </c>
      <c r="AD65" s="172">
        <f t="shared" ref="AD65" si="210">(E65-E69)/E69</f>
        <v>5.2459016393442623E-2</v>
      </c>
      <c r="AE65" s="172">
        <f t="shared" si="101"/>
        <v>0.14666666666666667</v>
      </c>
      <c r="AF65" s="172">
        <f t="shared" si="102"/>
        <v>9.0090090090090086E-2</v>
      </c>
      <c r="AG65" s="172">
        <f t="shared" si="103"/>
        <v>0.44329896907216493</v>
      </c>
      <c r="AH65" s="172">
        <f t="shared" si="104"/>
        <v>0.42562387864948609</v>
      </c>
      <c r="AI65" s="172">
        <f t="shared" si="105"/>
        <v>-0.2282997281636196</v>
      </c>
      <c r="AJ65" s="172">
        <f t="shared" si="160"/>
        <v>8.3333333333333329E-2</v>
      </c>
      <c r="AK65" s="172">
        <f t="shared" ref="AK65" si="211">(E65-E117)/E117</f>
        <v>0.23461538461538461</v>
      </c>
    </row>
    <row r="66" spans="1:37" x14ac:dyDescent="0.3">
      <c r="A66" s="169">
        <v>45786</v>
      </c>
      <c r="B66" s="159">
        <f t="shared" si="106"/>
        <v>2025</v>
      </c>
      <c r="C66" s="159">
        <f t="shared" si="107"/>
        <v>5</v>
      </c>
      <c r="D66" s="190">
        <f>AVERAGEIFS(data!G:G,data!A:A,'weekly-forecast'!B66,data!B:B,'weekly-forecast'!C66)</f>
        <v>325</v>
      </c>
      <c r="E66" s="190">
        <f>AVERAGEIFS(data!F:F,data!A:A,'weekly-forecast'!B66,data!B:B,'weekly-forecast'!C66)</f>
        <v>321</v>
      </c>
      <c r="F66" s="190">
        <v>215</v>
      </c>
      <c r="G66" s="190">
        <v>302.5</v>
      </c>
      <c r="H66" s="190">
        <v>347.5</v>
      </c>
      <c r="I66" s="170">
        <v>3.6042000000000001</v>
      </c>
      <c r="J66" s="190">
        <v>64.092727272727274</v>
      </c>
      <c r="K66" s="201"/>
      <c r="L66" s="201"/>
      <c r="M66" s="201"/>
      <c r="N66" s="201"/>
      <c r="O66" s="201"/>
      <c r="P66" s="201"/>
      <c r="Q66" s="171">
        <f t="shared" si="108"/>
        <v>0</v>
      </c>
      <c r="R66" s="171">
        <f t="shared" si="109"/>
        <v>0</v>
      </c>
      <c r="S66" s="171">
        <f t="shared" si="110"/>
        <v>0</v>
      </c>
      <c r="T66" s="171">
        <f t="shared" si="111"/>
        <v>6.0620328409157778E-2</v>
      </c>
      <c r="U66" s="171">
        <f t="shared" si="112"/>
        <v>0</v>
      </c>
      <c r="V66" s="171">
        <f t="shared" si="180"/>
        <v>0</v>
      </c>
      <c r="W66" s="171">
        <f t="shared" si="113"/>
        <v>0</v>
      </c>
      <c r="X66" s="172">
        <f t="shared" si="96"/>
        <v>-5.4945054945054944E-2</v>
      </c>
      <c r="Y66" s="172">
        <f t="shared" si="97"/>
        <v>0</v>
      </c>
      <c r="Z66" s="172">
        <f t="shared" si="98"/>
        <v>7.246376811594203E-3</v>
      </c>
      <c r="AA66" s="172">
        <f t="shared" si="99"/>
        <v>5.5493895671470021E-5</v>
      </c>
      <c r="AB66" s="172">
        <f t="shared" si="100"/>
        <v>-4.2352621570225603E-2</v>
      </c>
      <c r="AC66" s="172">
        <f t="shared" si="158"/>
        <v>3.1746031746031744E-2</v>
      </c>
      <c r="AD66" s="172">
        <f t="shared" ref="AD66" si="212">(E66-E70)/E70</f>
        <v>5.2459016393442623E-2</v>
      </c>
      <c r="AE66" s="172">
        <f t="shared" si="101"/>
        <v>0.17808219178082191</v>
      </c>
      <c r="AF66" s="172">
        <f t="shared" si="102"/>
        <v>9.0090090090090086E-2</v>
      </c>
      <c r="AG66" s="172">
        <f t="shared" si="103"/>
        <v>0.36274509803921567</v>
      </c>
      <c r="AH66" s="172">
        <f t="shared" si="104"/>
        <v>0.61739364566505139</v>
      </c>
      <c r="AI66" s="172">
        <f t="shared" si="105"/>
        <v>-0.2282997281636196</v>
      </c>
      <c r="AJ66" s="172">
        <f t="shared" si="160"/>
        <v>8.3333333333333329E-2</v>
      </c>
      <c r="AK66" s="172">
        <f t="shared" ref="AK66" si="213">(E66-E118)/E118</f>
        <v>0.23461538461538461</v>
      </c>
    </row>
    <row r="67" spans="1:37" x14ac:dyDescent="0.3">
      <c r="A67" s="169">
        <v>45779</v>
      </c>
      <c r="B67" s="159">
        <f t="shared" si="106"/>
        <v>2025</v>
      </c>
      <c r="C67" s="159">
        <f t="shared" si="107"/>
        <v>5</v>
      </c>
      <c r="D67" s="190">
        <f>AVERAGEIFS(data!G:G,data!A:A,'weekly-forecast'!B67,data!B:B,'weekly-forecast'!C67)</f>
        <v>325</v>
      </c>
      <c r="E67" s="190">
        <f>AVERAGEIFS(data!F:F,data!A:A,'weekly-forecast'!B67,data!B:B,'weekly-forecast'!C67)</f>
        <v>321</v>
      </c>
      <c r="F67" s="190">
        <v>215</v>
      </c>
      <c r="G67" s="190">
        <v>302.5</v>
      </c>
      <c r="H67" s="190">
        <v>347.5</v>
      </c>
      <c r="I67" s="170">
        <v>3.3982000000000001</v>
      </c>
      <c r="J67" s="190">
        <v>64.092727272727274</v>
      </c>
      <c r="K67" s="202"/>
      <c r="L67" s="202"/>
      <c r="M67" s="202"/>
      <c r="N67" s="202"/>
      <c r="O67" s="202"/>
      <c r="P67" s="202"/>
      <c r="Q67" s="171">
        <f t="shared" si="108"/>
        <v>-2.2727272727272728E-2</v>
      </c>
      <c r="R67" s="171">
        <f t="shared" si="109"/>
        <v>0</v>
      </c>
      <c r="S67" s="171">
        <f t="shared" si="110"/>
        <v>7.246376811594203E-3</v>
      </c>
      <c r="T67" s="171">
        <f t="shared" si="111"/>
        <v>0.13941791845493576</v>
      </c>
      <c r="U67" s="171">
        <f t="shared" si="112"/>
        <v>-4.2352621570225603E-2</v>
      </c>
      <c r="V67" s="171">
        <f t="shared" si="180"/>
        <v>3.1746031746031744E-2</v>
      </c>
      <c r="W67" s="171">
        <f t="shared" si="113"/>
        <v>5.2459016393442623E-2</v>
      </c>
      <c r="X67" s="172">
        <f t="shared" si="96"/>
        <v>-3.3707865168539325E-2</v>
      </c>
      <c r="Y67" s="172">
        <f t="shared" si="97"/>
        <v>0</v>
      </c>
      <c r="Z67" s="172">
        <f t="shared" si="98"/>
        <v>5.3030303030303032E-2</v>
      </c>
      <c r="AA67" s="172">
        <f t="shared" si="99"/>
        <v>-0.15467661691542295</v>
      </c>
      <c r="AB67" s="172">
        <f t="shared" si="100"/>
        <v>-4.2352621570225603E-2</v>
      </c>
      <c r="AC67" s="172">
        <f t="shared" si="158"/>
        <v>3.1746031746031744E-2</v>
      </c>
      <c r="AD67" s="172">
        <f t="shared" ref="AD67" si="214">(E67-E71)/E71</f>
        <v>5.2459016393442623E-2</v>
      </c>
      <c r="AE67" s="172">
        <f t="shared" si="101"/>
        <v>0.17808219178082191</v>
      </c>
      <c r="AF67" s="172">
        <f t="shared" si="102"/>
        <v>9.0090090090090086E-2</v>
      </c>
      <c r="AG67" s="172">
        <f t="shared" si="103"/>
        <v>0.36274509803921567</v>
      </c>
      <c r="AH67" s="172">
        <f t="shared" si="104"/>
        <v>0.67729516288252734</v>
      </c>
      <c r="AI67" s="172">
        <f t="shared" si="105"/>
        <v>-0.2282997281636196</v>
      </c>
      <c r="AJ67" s="172">
        <f t="shared" si="160"/>
        <v>8.3333333333333329E-2</v>
      </c>
      <c r="AK67" s="172">
        <f t="shared" ref="AK67" si="215">(E67-E119)/E119</f>
        <v>0.23461538461538461</v>
      </c>
    </row>
    <row r="68" spans="1:37" x14ac:dyDescent="0.3">
      <c r="A68" s="169">
        <v>45772</v>
      </c>
      <c r="B68" s="159">
        <f t="shared" si="106"/>
        <v>2025</v>
      </c>
      <c r="C68" s="159">
        <f t="shared" si="107"/>
        <v>4</v>
      </c>
      <c r="D68" s="190">
        <f>AVERAGEIFS(data!G:G,data!A:A,'weekly-forecast'!B68,data!B:B,'weekly-forecast'!C68)</f>
        <v>315</v>
      </c>
      <c r="E68" s="190">
        <f>AVERAGEIFS(data!F:F,data!A:A,'weekly-forecast'!B68,data!B:B,'weekly-forecast'!C68)</f>
        <v>305</v>
      </c>
      <c r="F68" s="190">
        <v>220</v>
      </c>
      <c r="G68" s="190">
        <v>302.5</v>
      </c>
      <c r="H68" s="190">
        <v>345</v>
      </c>
      <c r="I68" s="170">
        <v>2.9823999999999997</v>
      </c>
      <c r="J68" s="190">
        <v>66.927272727272737</v>
      </c>
      <c r="K68" s="200">
        <f>AVERAGE(D68:D71)</f>
        <v>315</v>
      </c>
      <c r="L68" s="200">
        <f t="shared" ref="L68:P68" si="216">AVERAGE(E68:E71)</f>
        <v>305</v>
      </c>
      <c r="M68" s="200">
        <f t="shared" si="216"/>
        <v>224.375</v>
      </c>
      <c r="N68" s="200">
        <f t="shared" si="216"/>
        <v>302.5</v>
      </c>
      <c r="O68" s="200">
        <f t="shared" si="216"/>
        <v>341.25</v>
      </c>
      <c r="P68" s="200">
        <f t="shared" si="216"/>
        <v>3.4732250000000002</v>
      </c>
      <c r="Q68" s="171">
        <f t="shared" si="108"/>
        <v>-3.2967032967032968E-2</v>
      </c>
      <c r="R68" s="171">
        <f t="shared" si="109"/>
        <v>0</v>
      </c>
      <c r="S68" s="171">
        <f t="shared" si="110"/>
        <v>0</v>
      </c>
      <c r="T68" s="171">
        <f t="shared" si="111"/>
        <v>-9.2530047162635159E-2</v>
      </c>
      <c r="U68" s="171">
        <f t="shared" si="112"/>
        <v>0</v>
      </c>
      <c r="V68" s="171">
        <f t="shared" si="180"/>
        <v>0</v>
      </c>
      <c r="W68" s="171">
        <f t="shared" si="113"/>
        <v>0</v>
      </c>
      <c r="X68" s="172">
        <f t="shared" si="96"/>
        <v>-3.2967032967032968E-2</v>
      </c>
      <c r="Y68" s="172">
        <f t="shared" si="97"/>
        <v>0</v>
      </c>
      <c r="Z68" s="172">
        <f t="shared" si="98"/>
        <v>0.11290322580645161</v>
      </c>
      <c r="AA68" s="172">
        <f t="shared" si="99"/>
        <v>-0.24034640855832928</v>
      </c>
      <c r="AB68" s="172">
        <f t="shared" si="100"/>
        <v>-6.7104265136882141E-2</v>
      </c>
      <c r="AC68" s="172">
        <f t="shared" si="158"/>
        <v>1.2861736334405145E-2</v>
      </c>
      <c r="AD68" s="172">
        <f t="shared" ref="AD68" si="217">(E68-E72)/E72</f>
        <v>1.3289036544850499E-2</v>
      </c>
      <c r="AE68" s="172">
        <f t="shared" si="101"/>
        <v>0.20547945205479451</v>
      </c>
      <c r="AF68" s="172">
        <f t="shared" si="102"/>
        <v>9.0090090090090086E-2</v>
      </c>
      <c r="AG68" s="172">
        <f t="shared" si="103"/>
        <v>0.36633663366336633</v>
      </c>
      <c r="AH68" s="172">
        <f t="shared" si="104"/>
        <v>0.75270333803479084</v>
      </c>
      <c r="AI68" s="172">
        <f t="shared" si="105"/>
        <v>-0.24779303580186351</v>
      </c>
      <c r="AJ68" s="172">
        <f t="shared" si="160"/>
        <v>-4.5454545454545456E-2</v>
      </c>
      <c r="AK68" s="172">
        <f t="shared" ref="AK68" si="218">(E68-E120)/E120</f>
        <v>1.6666666666666666E-2</v>
      </c>
    </row>
    <row r="69" spans="1:37" x14ac:dyDescent="0.3">
      <c r="A69" s="169">
        <v>45765</v>
      </c>
      <c r="B69" s="159">
        <f t="shared" si="106"/>
        <v>2025</v>
      </c>
      <c r="C69" s="159">
        <f t="shared" si="107"/>
        <v>4</v>
      </c>
      <c r="D69" s="190">
        <f>AVERAGEIFS(data!G:G,data!A:A,'weekly-forecast'!B69,data!B:B,'weekly-forecast'!C69)</f>
        <v>315</v>
      </c>
      <c r="E69" s="190">
        <f>AVERAGEIFS(data!F:F,data!A:A,'weekly-forecast'!B69,data!B:B,'weekly-forecast'!C69)</f>
        <v>305</v>
      </c>
      <c r="F69" s="190">
        <v>227.5</v>
      </c>
      <c r="G69" s="190">
        <v>302.5</v>
      </c>
      <c r="H69" s="190">
        <v>345</v>
      </c>
      <c r="I69" s="170">
        <v>3.2865000000000002</v>
      </c>
      <c r="J69" s="190">
        <v>66.927272727272737</v>
      </c>
      <c r="K69" s="201"/>
      <c r="L69" s="201"/>
      <c r="M69" s="201"/>
      <c r="N69" s="201"/>
      <c r="O69" s="201"/>
      <c r="P69" s="201"/>
      <c r="Q69" s="171">
        <f t="shared" si="108"/>
        <v>0</v>
      </c>
      <c r="R69" s="171">
        <f t="shared" si="109"/>
        <v>0</v>
      </c>
      <c r="S69" s="171">
        <f t="shared" si="110"/>
        <v>0</v>
      </c>
      <c r="T69" s="171">
        <f t="shared" si="111"/>
        <v>-8.8096559378468331E-2</v>
      </c>
      <c r="U69" s="171">
        <f t="shared" si="112"/>
        <v>0</v>
      </c>
      <c r="V69" s="171">
        <f t="shared" si="180"/>
        <v>0</v>
      </c>
      <c r="W69" s="171">
        <f t="shared" si="113"/>
        <v>0</v>
      </c>
      <c r="X69" s="172">
        <f t="shared" si="96"/>
        <v>-5.2083333333333336E-2</v>
      </c>
      <c r="Y69" s="172">
        <f t="shared" si="97"/>
        <v>0</v>
      </c>
      <c r="Z69" s="172">
        <f t="shared" si="98"/>
        <v>6.1538461538461542E-2</v>
      </c>
      <c r="AA69" s="172">
        <f t="shared" si="99"/>
        <v>-0.18939917127071806</v>
      </c>
      <c r="AB69" s="172">
        <f t="shared" si="100"/>
        <v>-6.7104265136882141E-2</v>
      </c>
      <c r="AC69" s="172">
        <f t="shared" si="158"/>
        <v>1.2861736334405145E-2</v>
      </c>
      <c r="AD69" s="172">
        <f t="shared" ref="AD69" si="219">(E69-E73)/E73</f>
        <v>1.3289036544850499E-2</v>
      </c>
      <c r="AE69" s="172">
        <f t="shared" si="101"/>
        <v>0.24657534246575341</v>
      </c>
      <c r="AF69" s="172">
        <f t="shared" si="102"/>
        <v>8.0357142857142863E-2</v>
      </c>
      <c r="AG69" s="172">
        <f t="shared" si="103"/>
        <v>0.36633663366336633</v>
      </c>
      <c r="AH69" s="172">
        <f t="shared" si="104"/>
        <v>0.90102961591855624</v>
      </c>
      <c r="AI69" s="172">
        <f t="shared" si="105"/>
        <v>-0.24779303580186351</v>
      </c>
      <c r="AJ69" s="172">
        <f t="shared" si="160"/>
        <v>-4.5454545454545456E-2</v>
      </c>
      <c r="AK69" s="172">
        <f t="shared" ref="AK69" si="220">(E69-E121)/E121</f>
        <v>1.6666666666666666E-2</v>
      </c>
    </row>
    <row r="70" spans="1:37" x14ac:dyDescent="0.3">
      <c r="A70" s="169">
        <v>45758</v>
      </c>
      <c r="B70" s="159">
        <f t="shared" si="106"/>
        <v>2025</v>
      </c>
      <c r="C70" s="159">
        <f t="shared" si="107"/>
        <v>4</v>
      </c>
      <c r="D70" s="190">
        <f>AVERAGEIFS(data!G:G,data!A:A,'weekly-forecast'!B70,data!B:B,'weekly-forecast'!C70)</f>
        <v>315</v>
      </c>
      <c r="E70" s="190">
        <f>AVERAGEIFS(data!F:F,data!A:A,'weekly-forecast'!B70,data!B:B,'weekly-forecast'!C70)</f>
        <v>305</v>
      </c>
      <c r="F70" s="190">
        <v>227.5</v>
      </c>
      <c r="G70" s="190">
        <v>302.5</v>
      </c>
      <c r="H70" s="190">
        <v>345</v>
      </c>
      <c r="I70" s="170">
        <v>3.6040000000000001</v>
      </c>
      <c r="J70" s="190">
        <v>66.927272727272737</v>
      </c>
      <c r="K70" s="201"/>
      <c r="L70" s="201"/>
      <c r="M70" s="201"/>
      <c r="N70" s="201"/>
      <c r="O70" s="201"/>
      <c r="P70" s="201"/>
      <c r="Q70" s="171">
        <f t="shared" si="108"/>
        <v>2.247191011235955E-2</v>
      </c>
      <c r="R70" s="171">
        <f t="shared" si="109"/>
        <v>0</v>
      </c>
      <c r="S70" s="171">
        <f t="shared" si="110"/>
        <v>4.5454545454545456E-2</v>
      </c>
      <c r="T70" s="171">
        <f t="shared" si="111"/>
        <v>-0.1034825870646767</v>
      </c>
      <c r="U70" s="171">
        <f t="shared" si="112"/>
        <v>0</v>
      </c>
      <c r="V70" s="171">
        <f t="shared" si="180"/>
        <v>0</v>
      </c>
      <c r="W70" s="171">
        <f t="shared" si="113"/>
        <v>0</v>
      </c>
      <c r="X70" s="172">
        <f t="shared" si="96"/>
        <v>-5.2083333333333336E-2</v>
      </c>
      <c r="Y70" s="172">
        <f t="shared" si="97"/>
        <v>-3.968253968253968E-2</v>
      </c>
      <c r="Z70" s="172">
        <f t="shared" si="98"/>
        <v>-0.1038961038961039</v>
      </c>
      <c r="AA70" s="172">
        <f t="shared" si="99"/>
        <v>-0.15172056677493756</v>
      </c>
      <c r="AB70" s="172">
        <f t="shared" si="100"/>
        <v>-6.7104265136882141E-2</v>
      </c>
      <c r="AC70" s="172">
        <f t="shared" si="158"/>
        <v>1.2861736334405145E-2</v>
      </c>
      <c r="AD70" s="172">
        <f t="shared" ref="AD70" si="221">(E70-E74)/E74</f>
        <v>1.3289036544850499E-2</v>
      </c>
      <c r="AE70" s="172">
        <f t="shared" si="101"/>
        <v>4.5977011494252873E-2</v>
      </c>
      <c r="AF70" s="172">
        <f t="shared" si="102"/>
        <v>8.0357142857142863E-2</v>
      </c>
      <c r="AG70" s="172">
        <f t="shared" si="103"/>
        <v>0.22123893805309736</v>
      </c>
      <c r="AH70" s="172">
        <f t="shared" si="104"/>
        <v>0.97263273125342098</v>
      </c>
      <c r="AI70" s="172">
        <f t="shared" si="105"/>
        <v>-0.24779303580186351</v>
      </c>
      <c r="AJ70" s="172">
        <f t="shared" si="160"/>
        <v>-4.5454545454545456E-2</v>
      </c>
      <c r="AK70" s="172">
        <f t="shared" ref="AK70" si="222">(E70-E122)/E122</f>
        <v>1.6666666666666666E-2</v>
      </c>
    </row>
    <row r="71" spans="1:37" x14ac:dyDescent="0.3">
      <c r="A71" s="169">
        <v>45751</v>
      </c>
      <c r="B71" s="159">
        <f t="shared" si="106"/>
        <v>2025</v>
      </c>
      <c r="C71" s="159">
        <f t="shared" si="107"/>
        <v>4</v>
      </c>
      <c r="D71" s="190">
        <f>AVERAGEIFS(data!G:G,data!A:A,'weekly-forecast'!B71,data!B:B,'weekly-forecast'!C71)</f>
        <v>315</v>
      </c>
      <c r="E71" s="190">
        <f>AVERAGEIFS(data!F:F,data!A:A,'weekly-forecast'!B71,data!B:B,'weekly-forecast'!C71)</f>
        <v>305</v>
      </c>
      <c r="F71" s="190">
        <v>222.5</v>
      </c>
      <c r="G71" s="190">
        <v>302.5</v>
      </c>
      <c r="H71" s="190">
        <v>330</v>
      </c>
      <c r="I71" s="170">
        <v>4.0200000000000005</v>
      </c>
      <c r="J71" s="190">
        <v>66.927272727272737</v>
      </c>
      <c r="K71" s="202"/>
      <c r="L71" s="202"/>
      <c r="M71" s="202"/>
      <c r="N71" s="202"/>
      <c r="O71" s="202"/>
      <c r="P71" s="202"/>
      <c r="Q71" s="171">
        <f t="shared" si="108"/>
        <v>-2.197802197802198E-2</v>
      </c>
      <c r="R71" s="171">
        <f t="shared" si="109"/>
        <v>0</v>
      </c>
      <c r="S71" s="171">
        <f t="shared" si="110"/>
        <v>6.4516129032258063E-2</v>
      </c>
      <c r="T71" s="171">
        <f t="shared" si="111"/>
        <v>2.394294447274576E-2</v>
      </c>
      <c r="U71" s="171">
        <f t="shared" si="112"/>
        <v>-6.7104265136882141E-2</v>
      </c>
      <c r="V71" s="171">
        <f t="shared" si="180"/>
        <v>1.2861736334405145E-2</v>
      </c>
      <c r="W71" s="171">
        <f t="shared" si="113"/>
        <v>1.3289036544850499E-2</v>
      </c>
      <c r="X71" s="172">
        <f t="shared" si="96"/>
        <v>-6.3157894736842107E-2</v>
      </c>
      <c r="Y71" s="172">
        <f t="shared" si="97"/>
        <v>-3.968253968253968E-2</v>
      </c>
      <c r="Z71" s="172">
        <f t="shared" si="98"/>
        <v>-0.15384615384615385</v>
      </c>
      <c r="AA71" s="172">
        <f t="shared" si="99"/>
        <v>-7.0434259815936484E-2</v>
      </c>
      <c r="AB71" s="172">
        <f t="shared" si="100"/>
        <v>-6.7104265136882141E-2</v>
      </c>
      <c r="AC71" s="172">
        <f t="shared" si="158"/>
        <v>1.2861736334405145E-2</v>
      </c>
      <c r="AD71" s="172">
        <f t="shared" ref="AD71" si="223">(E71-E75)/E75</f>
        <v>1.3289036544850499E-2</v>
      </c>
      <c r="AE71" s="172">
        <f t="shared" si="101"/>
        <v>-7.2916666666666671E-2</v>
      </c>
      <c r="AF71" s="172">
        <f t="shared" si="102"/>
        <v>0.33259911894273125</v>
      </c>
      <c r="AG71" s="172">
        <f t="shared" si="103"/>
        <v>0.16814159292035399</v>
      </c>
      <c r="AH71" s="172">
        <f t="shared" si="104"/>
        <v>1.2090339597757997</v>
      </c>
      <c r="AI71" s="172">
        <f t="shared" si="105"/>
        <v>-0.24779303580186351</v>
      </c>
      <c r="AJ71" s="172">
        <f t="shared" si="160"/>
        <v>-4.5454545454545456E-2</v>
      </c>
      <c r="AK71" s="172">
        <f t="shared" ref="AK71" si="224">(E71-E123)/E123</f>
        <v>1.6666666666666666E-2</v>
      </c>
    </row>
    <row r="72" spans="1:37" x14ac:dyDescent="0.3">
      <c r="A72" s="169">
        <v>45744</v>
      </c>
      <c r="B72" s="159">
        <f t="shared" si="106"/>
        <v>2025</v>
      </c>
      <c r="C72" s="159">
        <f t="shared" si="107"/>
        <v>3</v>
      </c>
      <c r="D72" s="190">
        <f>AVERAGEIFS(data!G:G,data!A:A,'weekly-forecast'!B72,data!B:B,'weekly-forecast'!C72)</f>
        <v>311</v>
      </c>
      <c r="E72" s="190">
        <f>AVERAGEIFS(data!F:F,data!A:A,'weekly-forecast'!B72,data!B:B,'weekly-forecast'!C72)</f>
        <v>301</v>
      </c>
      <c r="F72" s="190">
        <v>227.5</v>
      </c>
      <c r="G72" s="190">
        <v>302.5</v>
      </c>
      <c r="H72" s="190">
        <v>310</v>
      </c>
      <c r="I72" s="170">
        <v>3.9260000000000006</v>
      </c>
      <c r="J72" s="190">
        <v>71.741428571428571</v>
      </c>
      <c r="K72" s="200">
        <f>AVERAGE(D72:D75)</f>
        <v>311</v>
      </c>
      <c r="L72" s="200">
        <f t="shared" ref="L72:P72" si="225">AVERAGE(E72:E75)</f>
        <v>301</v>
      </c>
      <c r="M72" s="200">
        <f t="shared" si="225"/>
        <v>236.25</v>
      </c>
      <c r="N72" s="200">
        <f t="shared" si="225"/>
        <v>308.75</v>
      </c>
      <c r="O72" s="200">
        <f t="shared" si="225"/>
        <v>352.5</v>
      </c>
      <c r="P72" s="200">
        <f t="shared" si="225"/>
        <v>4.1383999999999999</v>
      </c>
      <c r="Q72" s="171">
        <f t="shared" si="108"/>
        <v>-5.2083333333333336E-2</v>
      </c>
      <c r="R72" s="171">
        <f t="shared" si="109"/>
        <v>0</v>
      </c>
      <c r="S72" s="171">
        <f t="shared" si="110"/>
        <v>-4.6153846153846156E-2</v>
      </c>
      <c r="T72" s="171">
        <f t="shared" si="111"/>
        <v>-3.1669297553275147E-2</v>
      </c>
      <c r="U72" s="171">
        <f t="shared" si="112"/>
        <v>0</v>
      </c>
      <c r="V72" s="171">
        <f t="shared" si="180"/>
        <v>0</v>
      </c>
      <c r="W72" s="171">
        <f t="shared" si="113"/>
        <v>0</v>
      </c>
      <c r="X72" s="172">
        <f t="shared" si="96"/>
        <v>-4.2105263157894736E-2</v>
      </c>
      <c r="Y72" s="172">
        <f t="shared" si="97"/>
        <v>-3.968253968253968E-2</v>
      </c>
      <c r="Z72" s="172">
        <f t="shared" si="98"/>
        <v>-0.20512820512820512</v>
      </c>
      <c r="AA72" s="172">
        <f t="shared" si="99"/>
        <v>-1.0684406813829192E-2</v>
      </c>
      <c r="AB72" s="172">
        <f t="shared" si="100"/>
        <v>-4.5902829100733136E-2</v>
      </c>
      <c r="AC72" s="172">
        <f t="shared" si="158"/>
        <v>3.2258064516129032E-3</v>
      </c>
      <c r="AD72" s="172">
        <f t="shared" ref="AD72" si="226">(E72-E76)/E76</f>
        <v>-2.2727272727272728E-2</v>
      </c>
      <c r="AE72" s="172">
        <f t="shared" si="101"/>
        <v>-5.2083333333333336E-2</v>
      </c>
      <c r="AF72" s="172">
        <f t="shared" si="102"/>
        <v>-8.1967213114754103E-3</v>
      </c>
      <c r="AG72" s="172">
        <f t="shared" si="103"/>
        <v>3.3333333333333333E-2</v>
      </c>
      <c r="AH72" s="172">
        <f t="shared" si="104"/>
        <v>1.3540698545945138</v>
      </c>
      <c r="AI72" s="172">
        <f t="shared" si="105"/>
        <v>-0.15560002017722327</v>
      </c>
      <c r="AJ72" s="172">
        <f t="shared" si="160"/>
        <v>-5.7575757575757579E-2</v>
      </c>
      <c r="AK72" s="172">
        <f t="shared" ref="AK72" si="227">(E72-E124)/E124</f>
        <v>3.3333333333333335E-3</v>
      </c>
    </row>
    <row r="73" spans="1:37" x14ac:dyDescent="0.3">
      <c r="A73" s="169">
        <v>45737</v>
      </c>
      <c r="B73" s="159">
        <f t="shared" si="106"/>
        <v>2025</v>
      </c>
      <c r="C73" s="159">
        <f t="shared" si="107"/>
        <v>3</v>
      </c>
      <c r="D73" s="190">
        <f>AVERAGEIFS(data!G:G,data!A:A,'weekly-forecast'!B73,data!B:B,'weekly-forecast'!C73)</f>
        <v>311</v>
      </c>
      <c r="E73" s="190">
        <f>AVERAGEIFS(data!F:F,data!A:A,'weekly-forecast'!B73,data!B:B,'weekly-forecast'!C73)</f>
        <v>301</v>
      </c>
      <c r="F73" s="190">
        <v>240</v>
      </c>
      <c r="G73" s="190">
        <v>302.5</v>
      </c>
      <c r="H73" s="190">
        <v>325</v>
      </c>
      <c r="I73" s="170">
        <v>4.0543999999999993</v>
      </c>
      <c r="J73" s="190">
        <v>71.741428571428571</v>
      </c>
      <c r="K73" s="201"/>
      <c r="L73" s="201"/>
      <c r="M73" s="201"/>
      <c r="N73" s="201"/>
      <c r="O73" s="201"/>
      <c r="P73" s="201"/>
      <c r="Q73" s="171">
        <f t="shared" si="108"/>
        <v>0</v>
      </c>
      <c r="R73" s="171">
        <f t="shared" si="109"/>
        <v>-3.968253968253968E-2</v>
      </c>
      <c r="S73" s="171">
        <f t="shared" si="110"/>
        <v>-0.15584415584415584</v>
      </c>
      <c r="T73" s="171">
        <f t="shared" si="111"/>
        <v>-4.5709174786988743E-2</v>
      </c>
      <c r="U73" s="171">
        <f t="shared" si="112"/>
        <v>0</v>
      </c>
      <c r="V73" s="171">
        <f t="shared" si="180"/>
        <v>0</v>
      </c>
      <c r="W73" s="171">
        <f t="shared" si="113"/>
        <v>0</v>
      </c>
      <c r="X73" s="172">
        <f t="shared" si="96"/>
        <v>1.0526315789473684E-2</v>
      </c>
      <c r="Y73" s="172">
        <f t="shared" si="97"/>
        <v>-0.14184397163120568</v>
      </c>
      <c r="Z73" s="172">
        <f t="shared" si="98"/>
        <v>-0.17721518987341772</v>
      </c>
      <c r="AA73" s="172">
        <f t="shared" si="99"/>
        <v>-2.7313620824087111E-2</v>
      </c>
      <c r="AB73" s="172">
        <f t="shared" si="100"/>
        <v>-4.5902829100733136E-2</v>
      </c>
      <c r="AC73" s="172">
        <f t="shared" si="158"/>
        <v>3.2258064516129032E-3</v>
      </c>
      <c r="AD73" s="172">
        <f t="shared" ref="AD73" si="228">(E73-E77)/E77</f>
        <v>-2.2727272727272728E-2</v>
      </c>
      <c r="AE73" s="172">
        <f t="shared" si="101"/>
        <v>0</v>
      </c>
      <c r="AF73" s="172">
        <f t="shared" si="102"/>
        <v>-8.1967213114754103E-3</v>
      </c>
      <c r="AG73" s="172">
        <f t="shared" si="103"/>
        <v>8.3333333333333329E-2</v>
      </c>
      <c r="AH73" s="172">
        <f t="shared" si="104"/>
        <v>1.3883129123468423</v>
      </c>
      <c r="AI73" s="172">
        <f t="shared" si="105"/>
        <v>-0.15560002017722327</v>
      </c>
      <c r="AJ73" s="172">
        <f t="shared" si="160"/>
        <v>-5.7575757575757579E-2</v>
      </c>
      <c r="AK73" s="172">
        <f t="shared" ref="AK73" si="229">(E73-E125)/E125</f>
        <v>3.3333333333333335E-3</v>
      </c>
    </row>
    <row r="74" spans="1:37" x14ac:dyDescent="0.3">
      <c r="A74" s="169">
        <v>45730</v>
      </c>
      <c r="B74" s="159">
        <f t="shared" si="106"/>
        <v>2025</v>
      </c>
      <c r="C74" s="159">
        <f t="shared" si="107"/>
        <v>3</v>
      </c>
      <c r="D74" s="190">
        <f>AVERAGEIFS(data!G:G,data!A:A,'weekly-forecast'!B74,data!B:B,'weekly-forecast'!C74)</f>
        <v>311</v>
      </c>
      <c r="E74" s="190">
        <f>AVERAGEIFS(data!F:F,data!A:A,'weekly-forecast'!B74,data!B:B,'weekly-forecast'!C74)</f>
        <v>301</v>
      </c>
      <c r="F74" s="190">
        <v>240</v>
      </c>
      <c r="G74" s="190">
        <v>315</v>
      </c>
      <c r="H74" s="190">
        <v>385</v>
      </c>
      <c r="I74" s="170">
        <v>4.2485999999999997</v>
      </c>
      <c r="J74" s="190">
        <v>71.741428571428571</v>
      </c>
      <c r="K74" s="201"/>
      <c r="L74" s="201"/>
      <c r="M74" s="201"/>
      <c r="N74" s="201"/>
      <c r="O74" s="201"/>
      <c r="P74" s="201"/>
      <c r="Q74" s="171">
        <f t="shared" si="108"/>
        <v>1.0526315789473684E-2</v>
      </c>
      <c r="R74" s="171">
        <f t="shared" si="109"/>
        <v>0</v>
      </c>
      <c r="S74" s="171">
        <f t="shared" si="110"/>
        <v>-1.282051282051282E-2</v>
      </c>
      <c r="T74" s="171">
        <f t="shared" si="111"/>
        <v>-1.7573879665171262E-2</v>
      </c>
      <c r="U74" s="171">
        <f t="shared" si="112"/>
        <v>0</v>
      </c>
      <c r="V74" s="171">
        <f t="shared" si="180"/>
        <v>0</v>
      </c>
      <c r="W74" s="171">
        <f t="shared" si="113"/>
        <v>0</v>
      </c>
      <c r="X74" s="172">
        <f t="shared" si="96"/>
        <v>-1.0309278350515464E-2</v>
      </c>
      <c r="Y74" s="172">
        <f t="shared" si="97"/>
        <v>-0.10638297872340426</v>
      </c>
      <c r="Z74" s="172">
        <f t="shared" si="98"/>
        <v>2.6666666666666668E-2</v>
      </c>
      <c r="AA74" s="172">
        <f t="shared" si="99"/>
        <v>0.18802080420558126</v>
      </c>
      <c r="AB74" s="172">
        <f t="shared" si="100"/>
        <v>-4.5902829100733136E-2</v>
      </c>
      <c r="AC74" s="172">
        <f t="shared" si="158"/>
        <v>3.2258064516129032E-3</v>
      </c>
      <c r="AD74" s="172">
        <f t="shared" ref="AD74" si="230">(E74-E78)/E78</f>
        <v>-2.2727272727272728E-2</v>
      </c>
      <c r="AE74" s="172">
        <f t="shared" si="101"/>
        <v>0</v>
      </c>
      <c r="AF74" s="172">
        <f t="shared" si="102"/>
        <v>3.2786885245901641E-2</v>
      </c>
      <c r="AG74" s="172">
        <f t="shared" si="103"/>
        <v>0.30508474576271188</v>
      </c>
      <c r="AH74" s="172">
        <f t="shared" si="104"/>
        <v>1.491263046792541</v>
      </c>
      <c r="AI74" s="172">
        <f t="shared" si="105"/>
        <v>-0.15560002017722327</v>
      </c>
      <c r="AJ74" s="172">
        <f t="shared" si="160"/>
        <v>-5.7575757575757579E-2</v>
      </c>
      <c r="AK74" s="172">
        <f t="shared" ref="AK74" si="231">(E74-E126)/E126</f>
        <v>3.3333333333333335E-3</v>
      </c>
    </row>
    <row r="75" spans="1:37" x14ac:dyDescent="0.3">
      <c r="A75" s="169">
        <v>45723</v>
      </c>
      <c r="B75" s="159">
        <f t="shared" si="106"/>
        <v>2025</v>
      </c>
      <c r="C75" s="159">
        <f t="shared" si="107"/>
        <v>3</v>
      </c>
      <c r="D75" s="190">
        <f>AVERAGEIFS(data!G:G,data!A:A,'weekly-forecast'!B75,data!B:B,'weekly-forecast'!C75)</f>
        <v>311</v>
      </c>
      <c r="E75" s="190">
        <f>AVERAGEIFS(data!F:F,data!A:A,'weekly-forecast'!B75,data!B:B,'weekly-forecast'!C75)</f>
        <v>301</v>
      </c>
      <c r="F75" s="190">
        <v>237.5</v>
      </c>
      <c r="G75" s="190">
        <v>315</v>
      </c>
      <c r="H75" s="190">
        <v>390</v>
      </c>
      <c r="I75" s="170">
        <v>4.3245999999999993</v>
      </c>
      <c r="J75" s="190">
        <v>71.741428571428571</v>
      </c>
      <c r="K75" s="202"/>
      <c r="L75" s="202"/>
      <c r="M75" s="202"/>
      <c r="N75" s="202"/>
      <c r="O75" s="202"/>
      <c r="P75" s="202"/>
      <c r="Q75" s="171">
        <f t="shared" si="108"/>
        <v>0</v>
      </c>
      <c r="R75" s="171">
        <f t="shared" si="109"/>
        <v>0</v>
      </c>
      <c r="S75" s="171">
        <f t="shared" si="110"/>
        <v>0</v>
      </c>
      <c r="T75" s="171">
        <f t="shared" si="111"/>
        <v>8.9759096865235088E-2</v>
      </c>
      <c r="U75" s="171">
        <f t="shared" si="112"/>
        <v>-4.5902829100733136E-2</v>
      </c>
      <c r="V75" s="171">
        <f t="shared" si="180"/>
        <v>3.2258064516129032E-3</v>
      </c>
      <c r="W75" s="171">
        <f t="shared" si="113"/>
        <v>-2.2727272727272728E-2</v>
      </c>
      <c r="X75" s="172">
        <f t="shared" si="96"/>
        <v>-2.0618556701030927E-2</v>
      </c>
      <c r="Y75" s="172">
        <f t="shared" si="97"/>
        <v>-0.10638297872340426</v>
      </c>
      <c r="Z75" s="172">
        <f t="shared" si="98"/>
        <v>0.04</v>
      </c>
      <c r="AA75" s="172">
        <f t="shared" si="99"/>
        <v>0.29618750749310624</v>
      </c>
      <c r="AB75" s="172">
        <f t="shared" si="100"/>
        <v>-4.5902829100733136E-2</v>
      </c>
      <c r="AC75" s="172">
        <f t="shared" ref="AC75:AC106" si="232">(D75-D79)/D79</f>
        <v>3.2258064516129032E-3</v>
      </c>
      <c r="AD75" s="172">
        <f t="shared" ref="AD75" si="233">(E75-E79)/E79</f>
        <v>-2.2727272727272728E-2</v>
      </c>
      <c r="AE75" s="172">
        <f t="shared" si="101"/>
        <v>0.10465116279069768</v>
      </c>
      <c r="AF75" s="172">
        <f t="shared" si="102"/>
        <v>3.2786885245901641E-2</v>
      </c>
      <c r="AG75" s="172">
        <f t="shared" si="103"/>
        <v>0.25806451612903225</v>
      </c>
      <c r="AH75" s="172">
        <f t="shared" si="104"/>
        <v>1.2942175066312991</v>
      </c>
      <c r="AI75" s="172">
        <f t="shared" si="105"/>
        <v>-0.15560002017722327</v>
      </c>
      <c r="AJ75" s="172">
        <f t="shared" ref="AJ75:AJ106" si="234">(D75-D127)/D127</f>
        <v>-5.7575757575757579E-2</v>
      </c>
      <c r="AK75" s="172">
        <f t="shared" ref="AK75" si="235">(E75-E127)/E127</f>
        <v>3.3333333333333335E-3</v>
      </c>
    </row>
    <row r="76" spans="1:37" x14ac:dyDescent="0.3">
      <c r="A76" s="169">
        <v>45716</v>
      </c>
      <c r="B76" s="159">
        <f t="shared" si="106"/>
        <v>2025</v>
      </c>
      <c r="C76" s="159">
        <f t="shared" si="107"/>
        <v>2</v>
      </c>
      <c r="D76" s="190">
        <f>AVERAGEIFS(data!G:G,data!A:A,'weekly-forecast'!B76,data!B:B,'weekly-forecast'!C76)</f>
        <v>310</v>
      </c>
      <c r="E76" s="190">
        <f>AVERAGEIFS(data!F:F,data!A:A,'weekly-forecast'!B76,data!B:B,'weekly-forecast'!C76)</f>
        <v>308</v>
      </c>
      <c r="F76" s="190">
        <v>237.5</v>
      </c>
      <c r="G76" s="190">
        <v>315</v>
      </c>
      <c r="H76" s="190">
        <v>390</v>
      </c>
      <c r="I76" s="170">
        <v>3.9684000000000004</v>
      </c>
      <c r="J76" s="190">
        <v>75.192999999999998</v>
      </c>
      <c r="K76" s="200">
        <f>AVERAGE(D76:D79)</f>
        <v>310</v>
      </c>
      <c r="L76" s="200">
        <f t="shared" ref="L76:P76" si="236">AVERAGE(E76:E79)</f>
        <v>308</v>
      </c>
      <c r="M76" s="200">
        <f t="shared" si="236"/>
        <v>240</v>
      </c>
      <c r="N76" s="200">
        <f t="shared" si="236"/>
        <v>343.125</v>
      </c>
      <c r="O76" s="200">
        <f t="shared" si="236"/>
        <v>383.75</v>
      </c>
      <c r="P76" s="200">
        <f t="shared" si="236"/>
        <v>3.7623125000000002</v>
      </c>
      <c r="Q76" s="171">
        <f t="shared" si="108"/>
        <v>0</v>
      </c>
      <c r="R76" s="171">
        <f t="shared" si="109"/>
        <v>-0.10638297872340426</v>
      </c>
      <c r="S76" s="171">
        <f t="shared" si="110"/>
        <v>-1.2658227848101266E-2</v>
      </c>
      <c r="T76" s="171">
        <f t="shared" si="111"/>
        <v>-4.7945780603370736E-2</v>
      </c>
      <c r="U76" s="171">
        <f t="shared" si="112"/>
        <v>0</v>
      </c>
      <c r="V76" s="171">
        <f t="shared" si="180"/>
        <v>0</v>
      </c>
      <c r="W76" s="171">
        <f t="shared" si="113"/>
        <v>0</v>
      </c>
      <c r="X76" s="172">
        <f t="shared" si="96"/>
        <v>5.5555555555555552E-2</v>
      </c>
      <c r="Y76" s="172">
        <f t="shared" si="97"/>
        <v>-0.10638297872340426</v>
      </c>
      <c r="Z76" s="172">
        <f t="shared" si="98"/>
        <v>7.586206896551724E-2</v>
      </c>
      <c r="AA76" s="172">
        <f t="shared" si="99"/>
        <v>0.18149339049660604</v>
      </c>
      <c r="AB76" s="172">
        <f t="shared" si="100"/>
        <v>-3.8377834369404965E-2</v>
      </c>
      <c r="AC76" s="172">
        <f t="shared" si="232"/>
        <v>2.9900332225913623E-2</v>
      </c>
      <c r="AD76" s="172">
        <f t="shared" ref="AD76" si="237">(E76-E80)/E80</f>
        <v>0.11594202898550725</v>
      </c>
      <c r="AE76" s="172">
        <f t="shared" si="101"/>
        <v>0.10465116279069768</v>
      </c>
      <c r="AF76" s="172">
        <f t="shared" si="102"/>
        <v>3.2786885245901641E-2</v>
      </c>
      <c r="AG76" s="172">
        <f t="shared" si="103"/>
        <v>0.25806451612903225</v>
      </c>
      <c r="AH76" s="172">
        <f t="shared" si="104"/>
        <v>1.241021007454258</v>
      </c>
      <c r="AI76" s="172">
        <f t="shared" si="105"/>
        <v>-0.11497486254266644</v>
      </c>
      <c r="AJ76" s="172">
        <f t="shared" si="234"/>
        <v>-6.0606060606060608E-2</v>
      </c>
      <c r="AK76" s="172">
        <f t="shared" ref="AK76" si="238">(E76-E128)/E128</f>
        <v>2.6666666666666668E-2</v>
      </c>
    </row>
    <row r="77" spans="1:37" x14ac:dyDescent="0.3">
      <c r="A77" s="169">
        <v>45709</v>
      </c>
      <c r="B77" s="159">
        <f t="shared" si="106"/>
        <v>2025</v>
      </c>
      <c r="C77" s="159">
        <f t="shared" si="107"/>
        <v>2</v>
      </c>
      <c r="D77" s="190">
        <f>AVERAGEIFS(data!G:G,data!A:A,'weekly-forecast'!B77,data!B:B,'weekly-forecast'!C77)</f>
        <v>310</v>
      </c>
      <c r="E77" s="190">
        <f>AVERAGEIFS(data!F:F,data!A:A,'weekly-forecast'!B77,data!B:B,'weekly-forecast'!C77)</f>
        <v>308</v>
      </c>
      <c r="F77" s="190">
        <v>237.5</v>
      </c>
      <c r="G77" s="190">
        <v>352.5</v>
      </c>
      <c r="H77" s="190">
        <v>395</v>
      </c>
      <c r="I77" s="170">
        <v>4.1682500000000005</v>
      </c>
      <c r="J77" s="190">
        <v>75.192999999999998</v>
      </c>
      <c r="K77" s="201"/>
      <c r="L77" s="201"/>
      <c r="M77" s="201"/>
      <c r="N77" s="201"/>
      <c r="O77" s="201"/>
      <c r="P77" s="201"/>
      <c r="Q77" s="171">
        <f t="shared" si="108"/>
        <v>-2.0618556701030927E-2</v>
      </c>
      <c r="R77" s="171">
        <f t="shared" si="109"/>
        <v>0</v>
      </c>
      <c r="S77" s="171">
        <f t="shared" si="110"/>
        <v>5.3333333333333337E-2</v>
      </c>
      <c r="T77" s="171">
        <f t="shared" si="111"/>
        <v>0.16555282143056888</v>
      </c>
      <c r="U77" s="171">
        <f t="shared" si="112"/>
        <v>0</v>
      </c>
      <c r="V77" s="171">
        <f t="shared" si="180"/>
        <v>0</v>
      </c>
      <c r="W77" s="171">
        <f t="shared" si="113"/>
        <v>0</v>
      </c>
      <c r="X77" s="172">
        <f t="shared" si="96"/>
        <v>5.5555555555555552E-2</v>
      </c>
      <c r="Y77" s="172">
        <f t="shared" si="97"/>
        <v>-0.1402439024390244</v>
      </c>
      <c r="Z77" s="172">
        <f t="shared" si="98"/>
        <v>8.9655172413793102E-2</v>
      </c>
      <c r="AA77" s="172">
        <f t="shared" si="99"/>
        <v>6.2786843447221005E-2</v>
      </c>
      <c r="AB77" s="172">
        <f t="shared" si="100"/>
        <v>-3.8377834369404965E-2</v>
      </c>
      <c r="AC77" s="172">
        <f t="shared" si="232"/>
        <v>2.9900332225913623E-2</v>
      </c>
      <c r="AD77" s="172">
        <f t="shared" ref="AD77" si="239">(E77-E81)/E81</f>
        <v>0.11594202898550725</v>
      </c>
      <c r="AE77" s="172">
        <f t="shared" si="101"/>
        <v>0.10465116279069768</v>
      </c>
      <c r="AF77" s="172">
        <f t="shared" si="102"/>
        <v>8.461538461538462E-2</v>
      </c>
      <c r="AG77" s="172">
        <f t="shared" si="103"/>
        <v>0.25396825396825395</v>
      </c>
      <c r="AH77" s="172">
        <f t="shared" si="104"/>
        <v>1.4944643925792944</v>
      </c>
      <c r="AI77" s="172">
        <f t="shared" si="105"/>
        <v>-8.0722007789440747E-2</v>
      </c>
      <c r="AJ77" s="172">
        <f t="shared" si="234"/>
        <v>-6.0606060606060608E-2</v>
      </c>
      <c r="AK77" s="172">
        <f t="shared" ref="AK77" si="240">(E77-E129)/E129</f>
        <v>-6.4516129032258064E-3</v>
      </c>
    </row>
    <row r="78" spans="1:37" x14ac:dyDescent="0.3">
      <c r="A78" s="169">
        <v>45702</v>
      </c>
      <c r="B78" s="159">
        <f t="shared" si="106"/>
        <v>2025</v>
      </c>
      <c r="C78" s="159">
        <f t="shared" si="107"/>
        <v>2</v>
      </c>
      <c r="D78" s="190">
        <f>AVERAGEIFS(data!G:G,data!A:A,'weekly-forecast'!B78,data!B:B,'weekly-forecast'!C78)</f>
        <v>310</v>
      </c>
      <c r="E78" s="190">
        <f>AVERAGEIFS(data!F:F,data!A:A,'weekly-forecast'!B78,data!B:B,'weekly-forecast'!C78)</f>
        <v>308</v>
      </c>
      <c r="F78" s="190">
        <v>242.5</v>
      </c>
      <c r="G78" s="190">
        <v>352.5</v>
      </c>
      <c r="H78" s="190">
        <v>375</v>
      </c>
      <c r="I78" s="170">
        <v>3.5762</v>
      </c>
      <c r="J78" s="190">
        <v>75.192999999999998</v>
      </c>
      <c r="K78" s="201"/>
      <c r="L78" s="201"/>
      <c r="M78" s="201"/>
      <c r="N78" s="201"/>
      <c r="O78" s="201"/>
      <c r="P78" s="201"/>
      <c r="Q78" s="171">
        <f t="shared" si="108"/>
        <v>0</v>
      </c>
      <c r="R78" s="171">
        <f t="shared" si="109"/>
        <v>0</v>
      </c>
      <c r="S78" s="171">
        <f t="shared" si="110"/>
        <v>0</v>
      </c>
      <c r="T78" s="171">
        <f t="shared" si="111"/>
        <v>7.1873876034048753E-2</v>
      </c>
      <c r="U78" s="171">
        <f t="shared" si="112"/>
        <v>0</v>
      </c>
      <c r="V78" s="171">
        <f t="shared" si="180"/>
        <v>0</v>
      </c>
      <c r="W78" s="171">
        <f t="shared" si="113"/>
        <v>0</v>
      </c>
      <c r="X78" s="172">
        <f t="shared" si="96"/>
        <v>0.10730593607305935</v>
      </c>
      <c r="Y78" s="172">
        <f t="shared" si="97"/>
        <v>-0.1402439024390244</v>
      </c>
      <c r="Z78" s="172">
        <f t="shared" si="98"/>
        <v>3.4482758620689655E-2</v>
      </c>
      <c r="AA78" s="172">
        <f t="shared" si="99"/>
        <v>-0.11440740924174131</v>
      </c>
      <c r="AB78" s="172">
        <f t="shared" si="100"/>
        <v>-3.8377834369404965E-2</v>
      </c>
      <c r="AC78" s="172">
        <f t="shared" si="232"/>
        <v>2.9900332225913623E-2</v>
      </c>
      <c r="AD78" s="172">
        <f t="shared" ref="AD78" si="241">(E78-E82)/E82</f>
        <v>0.11594202898550725</v>
      </c>
      <c r="AE78" s="172">
        <f t="shared" si="101"/>
        <v>0.11494252873563218</v>
      </c>
      <c r="AF78" s="172">
        <f t="shared" si="102"/>
        <v>8.461538461538462E-2</v>
      </c>
      <c r="AG78" s="172">
        <f t="shared" si="103"/>
        <v>0.22950819672131148</v>
      </c>
      <c r="AH78" s="172">
        <f t="shared" si="104"/>
        <v>1.1658187984496124</v>
      </c>
      <c r="AI78" s="172">
        <f t="shared" si="105"/>
        <v>-8.0722007789440747E-2</v>
      </c>
      <c r="AJ78" s="172">
        <f t="shared" si="234"/>
        <v>-6.0606060606060608E-2</v>
      </c>
      <c r="AK78" s="172">
        <f t="shared" ref="AK78" si="242">(E78-E130)/E130</f>
        <v>-6.4516129032258064E-3</v>
      </c>
    </row>
    <row r="79" spans="1:37" x14ac:dyDescent="0.3">
      <c r="A79" s="169">
        <v>45695</v>
      </c>
      <c r="B79" s="159">
        <f t="shared" si="106"/>
        <v>2025</v>
      </c>
      <c r="C79" s="159">
        <f t="shared" si="107"/>
        <v>2</v>
      </c>
      <c r="D79" s="190">
        <f>AVERAGEIFS(data!G:G,data!A:A,'weekly-forecast'!B79,data!B:B,'weekly-forecast'!C79)</f>
        <v>310</v>
      </c>
      <c r="E79" s="190">
        <f>AVERAGEIFS(data!F:F,data!A:A,'weekly-forecast'!B79,data!B:B,'weekly-forecast'!C79)</f>
        <v>308</v>
      </c>
      <c r="F79" s="190">
        <v>242.5</v>
      </c>
      <c r="G79" s="190">
        <v>352.5</v>
      </c>
      <c r="H79" s="190">
        <v>375</v>
      </c>
      <c r="I79" s="170">
        <v>3.3363999999999998</v>
      </c>
      <c r="J79" s="190">
        <v>75.192999999999998</v>
      </c>
      <c r="K79" s="202"/>
      <c r="L79" s="202"/>
      <c r="M79" s="202"/>
      <c r="N79" s="202"/>
      <c r="O79" s="202"/>
      <c r="P79" s="202"/>
      <c r="Q79" s="171">
        <f t="shared" si="108"/>
        <v>7.7777777777777779E-2</v>
      </c>
      <c r="R79" s="171">
        <f t="shared" si="109"/>
        <v>0</v>
      </c>
      <c r="S79" s="171">
        <f t="shared" si="110"/>
        <v>3.4482758620689655E-2</v>
      </c>
      <c r="T79" s="171">
        <f t="shared" si="111"/>
        <v>-6.6690484696916149E-3</v>
      </c>
      <c r="U79" s="171">
        <f t="shared" si="112"/>
        <v>-3.8377834369404965E-2</v>
      </c>
      <c r="V79" s="171">
        <f t="shared" si="180"/>
        <v>2.9900332225913623E-2</v>
      </c>
      <c r="W79" s="171">
        <f t="shared" si="113"/>
        <v>0.11594202898550725</v>
      </c>
      <c r="X79" s="172">
        <f t="shared" si="96"/>
        <v>0.10730593607305935</v>
      </c>
      <c r="Y79" s="172">
        <f t="shared" si="97"/>
        <v>-0.1402439024390244</v>
      </c>
      <c r="Z79" s="172">
        <f t="shared" si="98"/>
        <v>0.18110236220472442</v>
      </c>
      <c r="AA79" s="172">
        <f t="shared" si="99"/>
        <v>-9.6414256310258989E-2</v>
      </c>
      <c r="AB79" s="172">
        <f t="shared" si="100"/>
        <v>-3.8377834369404965E-2</v>
      </c>
      <c r="AC79" s="172">
        <f t="shared" si="232"/>
        <v>2.9900332225913623E-2</v>
      </c>
      <c r="AD79" s="172">
        <f t="shared" ref="AD79" si="243">(E79-E83)/E83</f>
        <v>0.11594202898550725</v>
      </c>
      <c r="AE79" s="172">
        <f t="shared" si="101"/>
        <v>0.11494252873563218</v>
      </c>
      <c r="AF79" s="172">
        <f t="shared" si="102"/>
        <v>8.461538461538462E-2</v>
      </c>
      <c r="AG79" s="172">
        <f t="shared" si="103"/>
        <v>0.19426751592356689</v>
      </c>
      <c r="AH79" s="172">
        <f t="shared" si="104"/>
        <v>0.69843209122378336</v>
      </c>
      <c r="AI79" s="172">
        <f t="shared" si="105"/>
        <v>-8.0722007789440747E-2</v>
      </c>
      <c r="AJ79" s="172">
        <f t="shared" si="234"/>
        <v>-6.0606060606060608E-2</v>
      </c>
      <c r="AK79" s="172">
        <f t="shared" ref="AK79" si="244">(E79-E131)/E131</f>
        <v>-6.4516129032258064E-3</v>
      </c>
    </row>
    <row r="80" spans="1:37" x14ac:dyDescent="0.3">
      <c r="A80" s="169">
        <v>45688</v>
      </c>
      <c r="B80" s="159">
        <f t="shared" si="106"/>
        <v>2025</v>
      </c>
      <c r="C80" s="159">
        <f t="shared" si="107"/>
        <v>1</v>
      </c>
      <c r="D80" s="190">
        <f>AVERAGEIFS(data!G:G,data!A:A,'weekly-forecast'!B80,data!B:B,'weekly-forecast'!C80)</f>
        <v>301</v>
      </c>
      <c r="E80" s="190">
        <f>AVERAGEIFS(data!F:F,data!A:A,'weekly-forecast'!B80,data!B:B,'weekly-forecast'!C80)</f>
        <v>276</v>
      </c>
      <c r="F80" s="190">
        <v>225</v>
      </c>
      <c r="G80" s="190">
        <v>352.5</v>
      </c>
      <c r="H80" s="190">
        <v>362.5</v>
      </c>
      <c r="I80" s="170">
        <v>3.3588</v>
      </c>
      <c r="J80" s="190">
        <v>78.193913043478261</v>
      </c>
      <c r="K80" s="200">
        <f>AVERAGE(D80:D84)</f>
        <v>301</v>
      </c>
      <c r="L80" s="200">
        <f t="shared" ref="L80:P80" si="245">AVERAGE(E80:E84)</f>
        <v>276</v>
      </c>
      <c r="M80" s="200">
        <f t="shared" si="245"/>
        <v>221.4</v>
      </c>
      <c r="N80" s="200">
        <f t="shared" si="245"/>
        <v>398.5</v>
      </c>
      <c r="O80" s="200">
        <f t="shared" si="245"/>
        <v>344.5</v>
      </c>
      <c r="P80" s="200">
        <f t="shared" si="245"/>
        <v>3.7314299999999996</v>
      </c>
      <c r="Q80" s="171">
        <f t="shared" si="108"/>
        <v>0</v>
      </c>
      <c r="R80" s="171">
        <f t="shared" si="109"/>
        <v>-0.1402439024390244</v>
      </c>
      <c r="S80" s="171">
        <f t="shared" si="110"/>
        <v>0</v>
      </c>
      <c r="T80" s="171">
        <f t="shared" si="111"/>
        <v>-0.1436002039775624</v>
      </c>
      <c r="U80" s="171">
        <f t="shared" si="112"/>
        <v>0</v>
      </c>
      <c r="V80" s="171">
        <f t="shared" si="180"/>
        <v>0</v>
      </c>
      <c r="W80" s="171">
        <f t="shared" si="113"/>
        <v>0</v>
      </c>
      <c r="X80" s="172">
        <f t="shared" si="96"/>
        <v>2.7397260273972601E-2</v>
      </c>
      <c r="Y80" s="172">
        <f t="shared" si="97"/>
        <v>-0.1402439024390244</v>
      </c>
      <c r="Z80" s="172">
        <f t="shared" si="98"/>
        <v>0.14173228346456693</v>
      </c>
      <c r="AA80" s="172">
        <f t="shared" si="99"/>
        <v>-7.8708084756223012E-2</v>
      </c>
      <c r="AB80" s="172">
        <f t="shared" si="100"/>
        <v>0</v>
      </c>
      <c r="AC80" s="172">
        <f t="shared" si="232"/>
        <v>0</v>
      </c>
      <c r="AD80" s="172">
        <f t="shared" ref="AD80" si="246">(E80-E84)/E84</f>
        <v>0</v>
      </c>
      <c r="AE80" s="172">
        <f t="shared" si="101"/>
        <v>0.2</v>
      </c>
      <c r="AF80" s="172">
        <f t="shared" si="102"/>
        <v>8.461538461538462E-2</v>
      </c>
      <c r="AG80" s="172">
        <f t="shared" si="103"/>
        <v>0.2288135593220339</v>
      </c>
      <c r="AH80" s="172">
        <f t="shared" si="104"/>
        <v>0.55557613931085603</v>
      </c>
      <c r="AI80" s="172">
        <f t="shared" si="105"/>
        <v>-4.403410708848219E-2</v>
      </c>
      <c r="AJ80" s="172">
        <f t="shared" si="234"/>
        <v>-8.7878787878787876E-2</v>
      </c>
      <c r="AK80" s="172">
        <f t="shared" ref="AK80" si="247">(E80-E132)/E132</f>
        <v>-0.10967741935483871</v>
      </c>
    </row>
    <row r="81" spans="1:37" x14ac:dyDescent="0.3">
      <c r="A81" s="169">
        <v>45681</v>
      </c>
      <c r="B81" s="159">
        <f t="shared" si="106"/>
        <v>2025</v>
      </c>
      <c r="C81" s="159">
        <f t="shared" si="107"/>
        <v>1</v>
      </c>
      <c r="D81" s="190">
        <f>AVERAGEIFS(data!G:G,data!A:A,'weekly-forecast'!B81,data!B:B,'weekly-forecast'!C81)</f>
        <v>301</v>
      </c>
      <c r="E81" s="190">
        <f>AVERAGEIFS(data!F:F,data!A:A,'weekly-forecast'!B81,data!B:B,'weekly-forecast'!C81)</f>
        <v>276</v>
      </c>
      <c r="F81" s="190">
        <v>225</v>
      </c>
      <c r="G81" s="190">
        <v>410</v>
      </c>
      <c r="H81" s="190">
        <v>362.5</v>
      </c>
      <c r="I81" s="170">
        <v>3.9219999999999997</v>
      </c>
      <c r="J81" s="190">
        <v>78.193913043478261</v>
      </c>
      <c r="K81" s="201"/>
      <c r="L81" s="201"/>
      <c r="M81" s="201"/>
      <c r="N81" s="201"/>
      <c r="O81" s="201"/>
      <c r="P81" s="201"/>
      <c r="Q81" s="171">
        <f t="shared" si="108"/>
        <v>2.7397260273972601E-2</v>
      </c>
      <c r="R81" s="171">
        <f t="shared" si="109"/>
        <v>0</v>
      </c>
      <c r="S81" s="171">
        <f t="shared" si="110"/>
        <v>0</v>
      </c>
      <c r="T81" s="171">
        <f t="shared" si="111"/>
        <v>-2.8775196869892546E-2</v>
      </c>
      <c r="U81" s="171">
        <f t="shared" si="112"/>
        <v>0</v>
      </c>
      <c r="V81" s="171">
        <f t="shared" si="180"/>
        <v>0</v>
      </c>
      <c r="W81" s="171">
        <f t="shared" si="113"/>
        <v>0</v>
      </c>
      <c r="X81" s="172">
        <f t="shared" si="96"/>
        <v>2.7397260273972601E-2</v>
      </c>
      <c r="Y81" s="172">
        <f t="shared" si="97"/>
        <v>0</v>
      </c>
      <c r="Z81" s="172">
        <f t="shared" si="98"/>
        <v>0.14173228346456693</v>
      </c>
      <c r="AA81" s="172">
        <f t="shared" si="99"/>
        <v>5.7784370575146606E-2</v>
      </c>
      <c r="AB81" s="172">
        <f t="shared" si="100"/>
        <v>6.7818379126462242E-2</v>
      </c>
      <c r="AC81" s="172">
        <f t="shared" si="232"/>
        <v>0.11481481481481481</v>
      </c>
      <c r="AD81" s="172">
        <f t="shared" ref="AD81" si="248">(E81-E85)/E85</f>
        <v>0.13114754098360656</v>
      </c>
      <c r="AE81" s="172">
        <f t="shared" si="101"/>
        <v>0.2</v>
      </c>
      <c r="AF81" s="172">
        <f t="shared" si="102"/>
        <v>-3.5294117647058823E-2</v>
      </c>
      <c r="AG81" s="172">
        <f t="shared" si="103"/>
        <v>0.2288135593220339</v>
      </c>
      <c r="AH81" s="172">
        <f t="shared" si="104"/>
        <v>0.53286953802860915</v>
      </c>
      <c r="AI81" s="172">
        <f t="shared" si="105"/>
        <v>-1.1579913494144081E-2</v>
      </c>
      <c r="AJ81" s="172">
        <f t="shared" si="234"/>
        <v>-8.7878787878787876E-2</v>
      </c>
      <c r="AK81" s="172">
        <f t="shared" ref="AK81" si="249">(E81-E133)/E133</f>
        <v>-0.10967741935483871</v>
      </c>
    </row>
    <row r="82" spans="1:37" x14ac:dyDescent="0.3">
      <c r="A82" s="169">
        <v>45674</v>
      </c>
      <c r="B82" s="159">
        <f t="shared" si="106"/>
        <v>2025</v>
      </c>
      <c r="C82" s="159">
        <f t="shared" si="107"/>
        <v>1</v>
      </c>
      <c r="D82" s="190">
        <f>AVERAGEIFS(data!G:G,data!A:A,'weekly-forecast'!B82,data!B:B,'weekly-forecast'!C82)</f>
        <v>301</v>
      </c>
      <c r="E82" s="190">
        <f>AVERAGEIFS(data!F:F,data!A:A,'weekly-forecast'!B82,data!B:B,'weekly-forecast'!C82)</f>
        <v>276</v>
      </c>
      <c r="F82" s="190">
        <v>219</v>
      </c>
      <c r="G82" s="190">
        <v>410</v>
      </c>
      <c r="H82" s="190">
        <v>362.5</v>
      </c>
      <c r="I82" s="170">
        <v>4.0381999999999998</v>
      </c>
      <c r="J82" s="190">
        <v>78.193913043478261</v>
      </c>
      <c r="K82" s="201"/>
      <c r="L82" s="201"/>
      <c r="M82" s="201"/>
      <c r="N82" s="201"/>
      <c r="O82" s="201"/>
      <c r="P82" s="201"/>
      <c r="Q82" s="171">
        <f t="shared" si="108"/>
        <v>0</v>
      </c>
      <c r="R82" s="171">
        <f t="shared" si="109"/>
        <v>0</v>
      </c>
      <c r="S82" s="171">
        <f t="shared" si="110"/>
        <v>0.14173228346456693</v>
      </c>
      <c r="T82" s="171">
        <f t="shared" si="111"/>
        <v>9.3651825371032296E-2</v>
      </c>
      <c r="U82" s="171">
        <f t="shared" si="112"/>
        <v>0</v>
      </c>
      <c r="V82" s="171">
        <f t="shared" si="180"/>
        <v>0</v>
      </c>
      <c r="W82" s="171">
        <f t="shared" si="113"/>
        <v>0</v>
      </c>
      <c r="X82" s="172">
        <f t="shared" si="96"/>
        <v>0</v>
      </c>
      <c r="Y82" s="172">
        <f t="shared" si="97"/>
        <v>0</v>
      </c>
      <c r="Z82" s="172">
        <f t="shared" si="98"/>
        <v>0.14173228346456693</v>
      </c>
      <c r="AA82" s="172">
        <f t="shared" si="99"/>
        <v>0.17198746227072195</v>
      </c>
      <c r="AB82" s="172">
        <f t="shared" si="100"/>
        <v>6.7818379126462242E-2</v>
      </c>
      <c r="AC82" s="172">
        <f t="shared" si="232"/>
        <v>0.11481481481481481</v>
      </c>
      <c r="AD82" s="172">
        <f t="shared" ref="AD82" si="250">(E82-E86)/E86</f>
        <v>0.13114754098360656</v>
      </c>
      <c r="AE82" s="172">
        <f t="shared" si="101"/>
        <v>0.21666666666666667</v>
      </c>
      <c r="AF82" s="172">
        <f t="shared" si="102"/>
        <v>-3.5294117647058823E-2</v>
      </c>
      <c r="AG82" s="172">
        <f t="shared" si="103"/>
        <v>0.36792452830188677</v>
      </c>
      <c r="AH82" s="172">
        <f t="shared" si="104"/>
        <v>0.47030766430001802</v>
      </c>
      <c r="AI82" s="172">
        <f t="shared" si="105"/>
        <v>-1.1579913494144081E-2</v>
      </c>
      <c r="AJ82" s="172">
        <f t="shared" si="234"/>
        <v>-8.7878787878787876E-2</v>
      </c>
      <c r="AK82" s="172">
        <f t="shared" ref="AK82" si="251">(E82-E134)/E134</f>
        <v>-0.10967741935483871</v>
      </c>
    </row>
    <row r="83" spans="1:37" x14ac:dyDescent="0.3">
      <c r="A83" s="169">
        <v>45667</v>
      </c>
      <c r="B83" s="159">
        <f t="shared" si="106"/>
        <v>2025</v>
      </c>
      <c r="C83" s="159">
        <f t="shared" si="107"/>
        <v>1</v>
      </c>
      <c r="D83" s="190">
        <f>AVERAGEIFS(data!G:G,data!A:A,'weekly-forecast'!B83,data!B:B,'weekly-forecast'!C83)</f>
        <v>301</v>
      </c>
      <c r="E83" s="190">
        <f>AVERAGEIFS(data!F:F,data!A:A,'weekly-forecast'!B83,data!B:B,'weekly-forecast'!C83)</f>
        <v>276</v>
      </c>
      <c r="F83" s="190">
        <v>219</v>
      </c>
      <c r="G83" s="190">
        <v>410</v>
      </c>
      <c r="H83" s="190">
        <v>317.5</v>
      </c>
      <c r="I83" s="170">
        <v>3.6924000000000001</v>
      </c>
      <c r="J83" s="190">
        <v>78.193913043478261</v>
      </c>
      <c r="K83" s="201"/>
      <c r="L83" s="201"/>
      <c r="M83" s="201"/>
      <c r="N83" s="201"/>
      <c r="O83" s="201"/>
      <c r="P83" s="201"/>
      <c r="Q83" s="171">
        <f t="shared" si="108"/>
        <v>0</v>
      </c>
      <c r="R83" s="171">
        <f t="shared" si="109"/>
        <v>0</v>
      </c>
      <c r="S83" s="171">
        <f t="shared" si="110"/>
        <v>0</v>
      </c>
      <c r="T83" s="171">
        <f t="shared" si="111"/>
        <v>1.279572104505248E-2</v>
      </c>
      <c r="U83" s="171">
        <f t="shared" si="112"/>
        <v>0</v>
      </c>
      <c r="V83" s="171">
        <f t="shared" si="180"/>
        <v>0</v>
      </c>
      <c r="W83" s="171">
        <f t="shared" si="113"/>
        <v>0</v>
      </c>
      <c r="X83" s="172">
        <f t="shared" si="96"/>
        <v>-4.5454545454545452E-3</v>
      </c>
      <c r="Y83" s="172">
        <f t="shared" si="97"/>
        <v>0</v>
      </c>
      <c r="Z83" s="172">
        <f t="shared" si="98"/>
        <v>3.2520325203252036E-2</v>
      </c>
      <c r="AA83" s="172">
        <f t="shared" si="99"/>
        <v>0.12176449143273796</v>
      </c>
      <c r="AB83" s="172">
        <f t="shared" si="100"/>
        <v>6.7818379126462242E-2</v>
      </c>
      <c r="AC83" s="172">
        <f t="shared" si="232"/>
        <v>0.11481481481481481</v>
      </c>
      <c r="AD83" s="172">
        <f t="shared" ref="AD83" si="252">(E83-E87)/E87</f>
        <v>0.13114754098360656</v>
      </c>
      <c r="AE83" s="172">
        <f t="shared" si="101"/>
        <v>0.21666666666666667</v>
      </c>
      <c r="AF83" s="172">
        <f t="shared" si="102"/>
        <v>-3.5294117647058823E-2</v>
      </c>
      <c r="AG83" s="172">
        <f t="shared" si="103"/>
        <v>0.29591836734693877</v>
      </c>
      <c r="AH83" s="172">
        <f t="shared" si="104"/>
        <v>0.18202189640822075</v>
      </c>
      <c r="AI83" s="172">
        <f t="shared" si="105"/>
        <v>-1.1579913494144081E-2</v>
      </c>
      <c r="AJ83" s="172">
        <f t="shared" si="234"/>
        <v>-8.7878787878787876E-2</v>
      </c>
      <c r="AK83" s="172">
        <f t="shared" ref="AK83" si="253">(E83-E135)/E135</f>
        <v>-0.10967741935483871</v>
      </c>
    </row>
    <row r="84" spans="1:37" x14ac:dyDescent="0.3">
      <c r="A84" s="169">
        <v>45660</v>
      </c>
      <c r="B84" s="159">
        <f t="shared" si="106"/>
        <v>2025</v>
      </c>
      <c r="C84" s="159">
        <f t="shared" si="107"/>
        <v>1</v>
      </c>
      <c r="D84" s="190">
        <f>AVERAGEIFS(data!G:G,data!A:A,'weekly-forecast'!B84,data!B:B,'weekly-forecast'!C84)</f>
        <v>301</v>
      </c>
      <c r="E84" s="190">
        <f>AVERAGEIFS(data!F:F,data!A:A,'weekly-forecast'!B84,data!B:B,'weekly-forecast'!C84)</f>
        <v>276</v>
      </c>
      <c r="F84" s="190">
        <v>219</v>
      </c>
      <c r="G84" s="190">
        <v>410</v>
      </c>
      <c r="H84" s="190">
        <v>317.5</v>
      </c>
      <c r="I84" s="170">
        <v>3.64575</v>
      </c>
      <c r="J84" s="190">
        <v>78.193913043478261</v>
      </c>
      <c r="K84" s="202"/>
      <c r="L84" s="202"/>
      <c r="M84" s="202"/>
      <c r="N84" s="202"/>
      <c r="O84" s="202"/>
      <c r="P84" s="202"/>
      <c r="Q84" s="171">
        <f t="shared" si="108"/>
        <v>0</v>
      </c>
      <c r="R84" s="171">
        <f t="shared" si="109"/>
        <v>0</v>
      </c>
      <c r="S84" s="171">
        <f t="shared" si="110"/>
        <v>0</v>
      </c>
      <c r="T84" s="171">
        <f t="shared" si="111"/>
        <v>-1.672173150832711E-2</v>
      </c>
      <c r="U84" s="171">
        <f t="shared" si="112"/>
        <v>6.7818379126462242E-2</v>
      </c>
      <c r="V84" s="171">
        <f t="shared" ref="V84:V115" si="254">(D84-D85)/D85</f>
        <v>0.11481481481481481</v>
      </c>
      <c r="W84" s="171">
        <f t="shared" si="113"/>
        <v>0.13114754098360656</v>
      </c>
      <c r="X84" s="172">
        <f t="shared" ref="X84:X147" si="255">(F84-F88)/F88</f>
        <v>-1.5730337078651686E-2</v>
      </c>
      <c r="Y84" s="172">
        <f t="shared" ref="Y84:Y147" si="256">(G84-G88)/G88</f>
        <v>-4.6511627906976744E-2</v>
      </c>
      <c r="Z84" s="172">
        <f t="shared" ref="Z84:Z147" si="257">(H84-H88)/H88</f>
        <v>3.2520325203252036E-2</v>
      </c>
      <c r="AA84" s="172">
        <f t="shared" ref="AA84:AA147" si="258">(I84-I88)/I88</f>
        <v>0.17962531547272384</v>
      </c>
      <c r="AB84" s="172">
        <f t="shared" ref="AB84:AB147" si="259">(J84-J88)/J88</f>
        <v>6.7818379126462242E-2</v>
      </c>
      <c r="AC84" s="172">
        <f t="shared" si="232"/>
        <v>0.11481481481481481</v>
      </c>
      <c r="AD84" s="172">
        <f t="shared" ref="AD84" si="260">(E84-E88)/E88</f>
        <v>0.13114754098360656</v>
      </c>
      <c r="AE84" s="172">
        <f t="shared" ref="AE84:AE147" si="261">(F84-F136)/F136</f>
        <v>0.21666666666666667</v>
      </c>
      <c r="AF84" s="172">
        <f t="shared" ref="AF84:AF147" si="262">(G84-G136)/G136</f>
        <v>-3.5294117647058823E-2</v>
      </c>
      <c r="AG84" s="172">
        <f t="shared" ref="AG84:AG147" si="263">(H84-H136)/H136</f>
        <v>0.15454545454545454</v>
      </c>
      <c r="AH84" s="172">
        <f t="shared" ref="AH84:AH147" si="264">(I84-I136)/I136</f>
        <v>0.33178082191780811</v>
      </c>
      <c r="AI84" s="172">
        <f t="shared" ref="AI84:AI147" si="265">(J84-J136)/J136</f>
        <v>-1.1579913494144081E-2</v>
      </c>
      <c r="AJ84" s="172">
        <f t="shared" si="234"/>
        <v>-8.7878787878787876E-2</v>
      </c>
      <c r="AK84" s="172">
        <f t="shared" ref="AK84" si="266">(E84-E136)/E136</f>
        <v>-0.10967741935483871</v>
      </c>
    </row>
    <row r="85" spans="1:37" x14ac:dyDescent="0.3">
      <c r="A85" s="169">
        <v>45653</v>
      </c>
      <c r="B85" s="159">
        <f t="shared" si="106"/>
        <v>2024</v>
      </c>
      <c r="C85" s="159">
        <f t="shared" si="107"/>
        <v>12</v>
      </c>
      <c r="D85" s="190">
        <f>AVERAGEIFS(data!G:G,data!A:A,'weekly-forecast'!B85,data!B:B,'weekly-forecast'!C85)</f>
        <v>270</v>
      </c>
      <c r="E85" s="190">
        <f>AVERAGEIFS(data!F:F,data!A:A,'weekly-forecast'!B85,data!B:B,'weekly-forecast'!C85)</f>
        <v>244</v>
      </c>
      <c r="F85" s="190">
        <v>219</v>
      </c>
      <c r="G85" s="190">
        <v>410</v>
      </c>
      <c r="H85" s="190">
        <v>317.5</v>
      </c>
      <c r="I85" s="170">
        <v>3.7077499999999999</v>
      </c>
      <c r="J85" s="190">
        <v>73.227727272727265</v>
      </c>
      <c r="K85" s="200">
        <f>AVERAGE(D85:D88)</f>
        <v>270</v>
      </c>
      <c r="L85" s="200">
        <f t="shared" ref="L85:P85" si="267">AVERAGE(E85:E88)</f>
        <v>244</v>
      </c>
      <c r="M85" s="200">
        <f t="shared" si="267"/>
        <v>220.125</v>
      </c>
      <c r="N85" s="200">
        <f t="shared" si="267"/>
        <v>415</v>
      </c>
      <c r="O85" s="200">
        <f t="shared" si="267"/>
        <v>312.5</v>
      </c>
      <c r="P85" s="200">
        <f t="shared" si="267"/>
        <v>3.3838874999999997</v>
      </c>
      <c r="Q85" s="171">
        <f t="shared" si="108"/>
        <v>0</v>
      </c>
      <c r="R85" s="171">
        <f t="shared" si="109"/>
        <v>0</v>
      </c>
      <c r="S85" s="171">
        <f t="shared" si="110"/>
        <v>0</v>
      </c>
      <c r="T85" s="171">
        <f t="shared" si="111"/>
        <v>7.6082540051079534E-2</v>
      </c>
      <c r="U85" s="171">
        <f t="shared" si="112"/>
        <v>0</v>
      </c>
      <c r="V85" s="171">
        <f t="shared" si="254"/>
        <v>0</v>
      </c>
      <c r="W85" s="171">
        <f t="shared" si="113"/>
        <v>0</v>
      </c>
      <c r="X85" s="172">
        <f t="shared" si="255"/>
        <v>-1.5730337078651686E-2</v>
      </c>
      <c r="Y85" s="172">
        <f t="shared" si="256"/>
        <v>-4.6511627906976744E-2</v>
      </c>
      <c r="Z85" s="172">
        <f t="shared" si="257"/>
        <v>1.6E-2</v>
      </c>
      <c r="AA85" s="172">
        <f t="shared" si="258"/>
        <v>0.10952345328046671</v>
      </c>
      <c r="AB85" s="172">
        <f t="shared" si="259"/>
        <v>-3.8205633763004321E-3</v>
      </c>
      <c r="AC85" s="172">
        <f t="shared" si="232"/>
        <v>0</v>
      </c>
      <c r="AD85" s="172">
        <f t="shared" ref="AD85" si="268">(E85-E89)/E89</f>
        <v>-7.9245283018867921E-2</v>
      </c>
      <c r="AE85" s="172">
        <f t="shared" si="261"/>
        <v>0.21666666666666667</v>
      </c>
      <c r="AF85" s="172">
        <f t="shared" si="262"/>
        <v>-3.5294117647058823E-2</v>
      </c>
      <c r="AG85" s="172">
        <f t="shared" si="263"/>
        <v>0.15454545454545454</v>
      </c>
      <c r="AH85" s="172">
        <f t="shared" si="264"/>
        <v>0.44833984375000019</v>
      </c>
      <c r="AI85" s="172">
        <f t="shared" si="265"/>
        <v>-5.5625124218678518E-2</v>
      </c>
      <c r="AJ85" s="172">
        <f t="shared" si="234"/>
        <v>-0.18181818181818182</v>
      </c>
      <c r="AK85" s="172">
        <f t="shared" ref="AK85" si="269">(E85-E137)/E137</f>
        <v>-0.18666666666666668</v>
      </c>
    </row>
    <row r="86" spans="1:37" x14ac:dyDescent="0.3">
      <c r="A86" s="169">
        <v>45646</v>
      </c>
      <c r="B86" s="159">
        <f t="shared" ref="B86:B149" si="270">YEAR(A86)</f>
        <v>2024</v>
      </c>
      <c r="C86" s="159">
        <f t="shared" ref="C86:C149" si="271">MONTH(A86)</f>
        <v>12</v>
      </c>
      <c r="D86" s="190">
        <f>AVERAGEIFS(data!G:G,data!A:A,'weekly-forecast'!B86,data!B:B,'weekly-forecast'!C86)</f>
        <v>270</v>
      </c>
      <c r="E86" s="190">
        <f>AVERAGEIFS(data!F:F,data!A:A,'weekly-forecast'!B86,data!B:B,'weekly-forecast'!C86)</f>
        <v>244</v>
      </c>
      <c r="F86" s="190">
        <v>219</v>
      </c>
      <c r="G86" s="190">
        <v>410</v>
      </c>
      <c r="H86" s="190">
        <v>317.5</v>
      </c>
      <c r="I86" s="170">
        <v>3.4456000000000002</v>
      </c>
      <c r="J86" s="190">
        <v>73.227727272727265</v>
      </c>
      <c r="K86" s="201"/>
      <c r="L86" s="201"/>
      <c r="M86" s="201"/>
      <c r="N86" s="201"/>
      <c r="O86" s="201"/>
      <c r="P86" s="201"/>
      <c r="Q86" s="171">
        <f t="shared" ref="Q86:Q149" si="272">(F86-F87)/F87</f>
        <v>-4.5454545454545452E-3</v>
      </c>
      <c r="R86" s="171">
        <f t="shared" ref="R86:R149" si="273">(G86-G87)/G87</f>
        <v>0</v>
      </c>
      <c r="S86" s="171">
        <f t="shared" ref="S86:S149" si="274">(H86-H87)/H87</f>
        <v>3.2520325203252036E-2</v>
      </c>
      <c r="T86" s="171">
        <f t="shared" ref="T86:T149" si="275">(I86-I87)/I87</f>
        <v>4.6785757686231728E-2</v>
      </c>
      <c r="U86" s="171">
        <f t="shared" ref="U86:U149" si="276">(J86-J87)/J87</f>
        <v>0</v>
      </c>
      <c r="V86" s="171">
        <f t="shared" si="254"/>
        <v>0</v>
      </c>
      <c r="W86" s="171">
        <f t="shared" ref="W86:W149" si="277">(E86-E87)/E87</f>
        <v>0</v>
      </c>
      <c r="X86" s="172">
        <f t="shared" si="255"/>
        <v>-8.7499999999999994E-2</v>
      </c>
      <c r="Y86" s="172">
        <f t="shared" si="256"/>
        <v>-4.6511627906976744E-2</v>
      </c>
      <c r="Z86" s="172">
        <f t="shared" si="257"/>
        <v>1.6E-2</v>
      </c>
      <c r="AA86" s="172">
        <f t="shared" si="258"/>
        <v>0.10209825997952945</v>
      </c>
      <c r="AB86" s="172">
        <f t="shared" si="259"/>
        <v>-3.8205633763004321E-3</v>
      </c>
      <c r="AC86" s="172">
        <f t="shared" si="232"/>
        <v>0</v>
      </c>
      <c r="AD86" s="172">
        <f t="shared" ref="AD86" si="278">(E86-E90)/E90</f>
        <v>-7.9245283018867921E-2</v>
      </c>
      <c r="AE86" s="172">
        <f t="shared" si="261"/>
        <v>0.21666666666666667</v>
      </c>
      <c r="AF86" s="172">
        <f t="shared" si="262"/>
        <v>-3.5294117647058823E-2</v>
      </c>
      <c r="AG86" s="172">
        <f t="shared" si="263"/>
        <v>0.15454545454545454</v>
      </c>
      <c r="AH86" s="172">
        <f t="shared" si="264"/>
        <v>0.36470215462610911</v>
      </c>
      <c r="AI86" s="172">
        <f t="shared" si="265"/>
        <v>-5.5625124218678518E-2</v>
      </c>
      <c r="AJ86" s="172">
        <f t="shared" si="234"/>
        <v>-0.18181818181818182</v>
      </c>
      <c r="AK86" s="172">
        <f t="shared" ref="AK86" si="279">(E86-E138)/E138</f>
        <v>-0.18666666666666668</v>
      </c>
    </row>
    <row r="87" spans="1:37" x14ac:dyDescent="0.3">
      <c r="A87" s="169">
        <v>45639</v>
      </c>
      <c r="B87" s="159">
        <f t="shared" si="270"/>
        <v>2024</v>
      </c>
      <c r="C87" s="159">
        <f t="shared" si="271"/>
        <v>12</v>
      </c>
      <c r="D87" s="190">
        <f>AVERAGEIFS(data!G:G,data!A:A,'weekly-forecast'!B87,data!B:B,'weekly-forecast'!C87)</f>
        <v>270</v>
      </c>
      <c r="E87" s="190">
        <f>AVERAGEIFS(data!F:F,data!A:A,'weekly-forecast'!B87,data!B:B,'weekly-forecast'!C87)</f>
        <v>244</v>
      </c>
      <c r="F87" s="190">
        <v>220</v>
      </c>
      <c r="G87" s="190">
        <v>410</v>
      </c>
      <c r="H87" s="190">
        <v>307.5</v>
      </c>
      <c r="I87" s="170">
        <v>3.2915999999999999</v>
      </c>
      <c r="J87" s="190">
        <v>73.227727272727265</v>
      </c>
      <c r="K87" s="201"/>
      <c r="L87" s="201"/>
      <c r="M87" s="201"/>
      <c r="N87" s="201"/>
      <c r="O87" s="201"/>
      <c r="P87" s="201"/>
      <c r="Q87" s="171">
        <f t="shared" si="272"/>
        <v>-1.1235955056179775E-2</v>
      </c>
      <c r="R87" s="171">
        <f t="shared" si="273"/>
        <v>-4.6511627906976744E-2</v>
      </c>
      <c r="S87" s="171">
        <f t="shared" si="274"/>
        <v>0</v>
      </c>
      <c r="T87" s="171">
        <f t="shared" si="275"/>
        <v>6.5035915356241536E-2</v>
      </c>
      <c r="U87" s="171">
        <f t="shared" si="276"/>
        <v>0</v>
      </c>
      <c r="V87" s="171">
        <f t="shared" si="254"/>
        <v>0</v>
      </c>
      <c r="W87" s="171">
        <f t="shared" si="277"/>
        <v>0</v>
      </c>
      <c r="X87" s="172">
        <f t="shared" si="255"/>
        <v>-8.3333333333333329E-2</v>
      </c>
      <c r="Y87" s="172">
        <f t="shared" si="256"/>
        <v>-4.6511627906976744E-2</v>
      </c>
      <c r="Z87" s="172">
        <f t="shared" si="257"/>
        <v>-1.6E-2</v>
      </c>
      <c r="AA87" s="172">
        <f t="shared" si="258"/>
        <v>0.14148980441115253</v>
      </c>
      <c r="AB87" s="172">
        <f t="shared" si="259"/>
        <v>-3.8205633763004321E-3</v>
      </c>
      <c r="AC87" s="172">
        <f t="shared" si="232"/>
        <v>0</v>
      </c>
      <c r="AD87" s="172">
        <f t="shared" ref="AD87" si="280">(E87-E91)/E91</f>
        <v>-7.9245283018867921E-2</v>
      </c>
      <c r="AE87" s="172">
        <f t="shared" si="261"/>
        <v>0.27536231884057971</v>
      </c>
      <c r="AF87" s="172">
        <f t="shared" si="262"/>
        <v>-3.5294117647058823E-2</v>
      </c>
      <c r="AG87" s="172">
        <f t="shared" si="263"/>
        <v>5.128205128205128E-2</v>
      </c>
      <c r="AH87" s="172">
        <f t="shared" si="264"/>
        <v>0.37608695652173885</v>
      </c>
      <c r="AI87" s="172">
        <f t="shared" si="265"/>
        <v>-5.5625124218678518E-2</v>
      </c>
      <c r="AJ87" s="172">
        <f t="shared" si="234"/>
        <v>-0.18181818181818182</v>
      </c>
      <c r="AK87" s="172">
        <f t="shared" ref="AK87" si="281">(E87-E139)/E139</f>
        <v>-0.18666666666666668</v>
      </c>
    </row>
    <row r="88" spans="1:37" x14ac:dyDescent="0.3">
      <c r="A88" s="169">
        <v>45632</v>
      </c>
      <c r="B88" s="159">
        <f t="shared" si="270"/>
        <v>2024</v>
      </c>
      <c r="C88" s="159">
        <f t="shared" si="271"/>
        <v>12</v>
      </c>
      <c r="D88" s="190">
        <f>AVERAGEIFS(data!G:G,data!A:A,'weekly-forecast'!B88,data!B:B,'weekly-forecast'!C88)</f>
        <v>270</v>
      </c>
      <c r="E88" s="190">
        <f>AVERAGEIFS(data!F:F,data!A:A,'weekly-forecast'!B88,data!B:B,'weekly-forecast'!C88)</f>
        <v>244</v>
      </c>
      <c r="F88" s="190">
        <v>222.5</v>
      </c>
      <c r="G88" s="190">
        <v>430</v>
      </c>
      <c r="H88" s="190">
        <v>307.5</v>
      </c>
      <c r="I88" s="170">
        <v>3.0905999999999998</v>
      </c>
      <c r="J88" s="190">
        <v>73.227727272727265</v>
      </c>
      <c r="K88" s="202"/>
      <c r="L88" s="202"/>
      <c r="M88" s="202"/>
      <c r="N88" s="202"/>
      <c r="O88" s="202"/>
      <c r="P88" s="202"/>
      <c r="Q88" s="171">
        <f t="shared" si="272"/>
        <v>0</v>
      </c>
      <c r="R88" s="171">
        <f t="shared" si="273"/>
        <v>0</v>
      </c>
      <c r="S88" s="171">
        <f t="shared" si="274"/>
        <v>-1.6E-2</v>
      </c>
      <c r="T88" s="171">
        <f t="shared" si="275"/>
        <v>-7.5155233036582753E-2</v>
      </c>
      <c r="U88" s="171">
        <f t="shared" si="276"/>
        <v>-3.8205633763004321E-3</v>
      </c>
      <c r="V88" s="171">
        <f t="shared" si="254"/>
        <v>0</v>
      </c>
      <c r="W88" s="171">
        <f t="shared" si="277"/>
        <v>-7.9245283018867921E-2</v>
      </c>
      <c r="X88" s="172">
        <f t="shared" si="255"/>
        <v>-8.247422680412371E-2</v>
      </c>
      <c r="Y88" s="172">
        <f t="shared" si="256"/>
        <v>0</v>
      </c>
      <c r="Z88" s="172">
        <f t="shared" si="257"/>
        <v>-3.6050156739811913E-2</v>
      </c>
      <c r="AA88" s="172">
        <f t="shared" si="258"/>
        <v>0.13960176991150428</v>
      </c>
      <c r="AB88" s="172">
        <f t="shared" si="259"/>
        <v>-3.8205633763004321E-3</v>
      </c>
      <c r="AC88" s="172">
        <f t="shared" si="232"/>
        <v>0</v>
      </c>
      <c r="AD88" s="172">
        <f t="shared" ref="AD88" si="282">(E88-E92)/E92</f>
        <v>-7.9245283018867921E-2</v>
      </c>
      <c r="AE88" s="172">
        <f t="shared" si="261"/>
        <v>0.28985507246376813</v>
      </c>
      <c r="AF88" s="172">
        <f t="shared" si="262"/>
        <v>-0.12244897959183673</v>
      </c>
      <c r="AG88" s="172">
        <f t="shared" si="263"/>
        <v>7.8947368421052627E-2</v>
      </c>
      <c r="AH88" s="172">
        <f t="shared" si="264"/>
        <v>0.17611690387396306</v>
      </c>
      <c r="AI88" s="172">
        <f t="shared" si="265"/>
        <v>-5.5625124218678518E-2</v>
      </c>
      <c r="AJ88" s="172">
        <f t="shared" si="234"/>
        <v>-0.18181818181818182</v>
      </c>
      <c r="AK88" s="172">
        <f t="shared" ref="AK88" si="283">(E88-E140)/E140</f>
        <v>-0.18666666666666668</v>
      </c>
    </row>
    <row r="89" spans="1:37" x14ac:dyDescent="0.3">
      <c r="A89" s="169">
        <v>45625</v>
      </c>
      <c r="B89" s="159">
        <f t="shared" si="270"/>
        <v>2024</v>
      </c>
      <c r="C89" s="159">
        <f t="shared" si="271"/>
        <v>11</v>
      </c>
      <c r="D89" s="190">
        <f>AVERAGEIFS(data!G:G,data!A:A,'weekly-forecast'!B89,data!B:B,'weekly-forecast'!C89)</f>
        <v>270</v>
      </c>
      <c r="E89" s="190">
        <f>AVERAGEIFS(data!F:F,data!A:A,'weekly-forecast'!B89,data!B:B,'weekly-forecast'!C89)</f>
        <v>265</v>
      </c>
      <c r="F89" s="190">
        <v>222.5</v>
      </c>
      <c r="G89" s="190">
        <v>430</v>
      </c>
      <c r="H89" s="190">
        <v>312.5</v>
      </c>
      <c r="I89" s="170">
        <v>3.3417500000000002</v>
      </c>
      <c r="J89" s="190">
        <v>73.508571428571429</v>
      </c>
      <c r="K89" s="200">
        <f>AVERAGE(D89:D93)</f>
        <v>270</v>
      </c>
      <c r="L89" s="200">
        <f t="shared" ref="L89:P89" si="284">AVERAGE(E89:E93)</f>
        <v>265</v>
      </c>
      <c r="M89" s="200">
        <f t="shared" si="284"/>
        <v>238</v>
      </c>
      <c r="N89" s="200">
        <f t="shared" si="284"/>
        <v>430</v>
      </c>
      <c r="O89" s="200">
        <f t="shared" si="284"/>
        <v>316.3</v>
      </c>
      <c r="P89" s="200">
        <f t="shared" si="284"/>
        <v>2.9275499999999997</v>
      </c>
      <c r="Q89" s="171">
        <f t="shared" si="272"/>
        <v>-7.2916666666666671E-2</v>
      </c>
      <c r="R89" s="171">
        <f t="shared" si="273"/>
        <v>0</v>
      </c>
      <c r="S89" s="171">
        <f t="shared" si="274"/>
        <v>0</v>
      </c>
      <c r="T89" s="171">
        <f t="shared" si="275"/>
        <v>6.8881141248720842E-2</v>
      </c>
      <c r="U89" s="171">
        <f t="shared" si="276"/>
        <v>0</v>
      </c>
      <c r="V89" s="171">
        <f t="shared" si="254"/>
        <v>0</v>
      </c>
      <c r="W89" s="171">
        <f t="shared" si="277"/>
        <v>0</v>
      </c>
      <c r="X89" s="172">
        <f t="shared" si="255"/>
        <v>-9.1836734693877556E-2</v>
      </c>
      <c r="Y89" s="172">
        <f t="shared" si="256"/>
        <v>0</v>
      </c>
      <c r="Z89" s="172">
        <f t="shared" si="257"/>
        <v>-3.8461538461538464E-2</v>
      </c>
      <c r="AA89" s="172">
        <f t="shared" si="258"/>
        <v>0.2982711732711732</v>
      </c>
      <c r="AB89" s="172">
        <f t="shared" si="259"/>
        <v>0</v>
      </c>
      <c r="AC89" s="172">
        <f t="shared" si="232"/>
        <v>0</v>
      </c>
      <c r="AD89" s="172">
        <f t="shared" ref="AD89" si="285">(E89-E93)/E93</f>
        <v>0</v>
      </c>
      <c r="AE89" s="172">
        <f t="shared" si="261"/>
        <v>0.25352112676056338</v>
      </c>
      <c r="AF89" s="172">
        <f t="shared" si="262"/>
        <v>-0.21818181818181817</v>
      </c>
      <c r="AG89" s="172">
        <f t="shared" si="263"/>
        <v>9.6491228070175433E-2</v>
      </c>
      <c r="AH89" s="172">
        <f t="shared" si="264"/>
        <v>0.20034123563218406</v>
      </c>
      <c r="AI89" s="172">
        <f t="shared" si="265"/>
        <v>-5.200324252622264E-2</v>
      </c>
      <c r="AJ89" s="172">
        <f t="shared" si="234"/>
        <v>-0.18181818181818182</v>
      </c>
      <c r="AK89" s="172">
        <f t="shared" ref="AK89" si="286">(E89-E141)/E141</f>
        <v>-0.11666666666666667</v>
      </c>
    </row>
    <row r="90" spans="1:37" x14ac:dyDescent="0.3">
      <c r="A90" s="169">
        <v>45618</v>
      </c>
      <c r="B90" s="159">
        <f t="shared" si="270"/>
        <v>2024</v>
      </c>
      <c r="C90" s="159">
        <f t="shared" si="271"/>
        <v>11</v>
      </c>
      <c r="D90" s="190">
        <f>AVERAGEIFS(data!G:G,data!A:A,'weekly-forecast'!B90,data!B:B,'weekly-forecast'!C90)</f>
        <v>270</v>
      </c>
      <c r="E90" s="190">
        <f>AVERAGEIFS(data!F:F,data!A:A,'weekly-forecast'!B90,data!B:B,'weekly-forecast'!C90)</f>
        <v>265</v>
      </c>
      <c r="F90" s="190">
        <v>240</v>
      </c>
      <c r="G90" s="190">
        <v>430</v>
      </c>
      <c r="H90" s="190">
        <v>312.5</v>
      </c>
      <c r="I90" s="170">
        <v>3.1263999999999994</v>
      </c>
      <c r="J90" s="190">
        <v>73.508571428571429</v>
      </c>
      <c r="K90" s="201"/>
      <c r="L90" s="201"/>
      <c r="M90" s="201"/>
      <c r="N90" s="201"/>
      <c r="O90" s="201"/>
      <c r="P90" s="201"/>
      <c r="Q90" s="171">
        <f t="shared" si="272"/>
        <v>0</v>
      </c>
      <c r="R90" s="171">
        <f t="shared" si="273"/>
        <v>0</v>
      </c>
      <c r="S90" s="171">
        <f t="shared" si="274"/>
        <v>0</v>
      </c>
      <c r="T90" s="171">
        <f t="shared" si="275"/>
        <v>8.4200305174087595E-2</v>
      </c>
      <c r="U90" s="171">
        <f t="shared" si="276"/>
        <v>0</v>
      </c>
      <c r="V90" s="171">
        <f t="shared" si="254"/>
        <v>0</v>
      </c>
      <c r="W90" s="171">
        <f t="shared" si="277"/>
        <v>0</v>
      </c>
      <c r="X90" s="172">
        <f t="shared" si="255"/>
        <v>-3.0303030303030304E-2</v>
      </c>
      <c r="Y90" s="172">
        <f t="shared" si="256"/>
        <v>0</v>
      </c>
      <c r="Z90" s="172">
        <f t="shared" si="257"/>
        <v>-3.8461538461538464E-2</v>
      </c>
      <c r="AA90" s="172">
        <f t="shared" si="258"/>
        <v>0.29758446086162516</v>
      </c>
      <c r="AB90" s="172">
        <f t="shared" si="259"/>
        <v>-2.3356337850338752E-2</v>
      </c>
      <c r="AC90" s="172">
        <f t="shared" si="232"/>
        <v>0</v>
      </c>
      <c r="AD90" s="172">
        <f t="shared" ref="AD90" si="287">(E90-E94)/E94</f>
        <v>2.3166023166023165E-2</v>
      </c>
      <c r="AE90" s="172">
        <f t="shared" si="261"/>
        <v>0.23393316195372751</v>
      </c>
      <c r="AF90" s="172">
        <f t="shared" si="262"/>
        <v>-0.21818181818181817</v>
      </c>
      <c r="AG90" s="172">
        <f t="shared" si="263"/>
        <v>-5.3030303030303032E-2</v>
      </c>
      <c r="AH90" s="172">
        <f t="shared" si="264"/>
        <v>8.9337979094076578E-2</v>
      </c>
      <c r="AI90" s="172">
        <f t="shared" si="265"/>
        <v>-0.10558676432245373</v>
      </c>
      <c r="AJ90" s="172">
        <f t="shared" si="234"/>
        <v>-3.5714285714285712E-2</v>
      </c>
      <c r="AK90" s="172">
        <f t="shared" ref="AK90" si="288">(E90-E142)/E142</f>
        <v>-0.11666666666666667</v>
      </c>
    </row>
    <row r="91" spans="1:37" x14ac:dyDescent="0.3">
      <c r="A91" s="169">
        <v>45611</v>
      </c>
      <c r="B91" s="159">
        <f t="shared" si="270"/>
        <v>2024</v>
      </c>
      <c r="C91" s="159">
        <f t="shared" si="271"/>
        <v>11</v>
      </c>
      <c r="D91" s="190">
        <f>AVERAGEIFS(data!G:G,data!A:A,'weekly-forecast'!B91,data!B:B,'weekly-forecast'!C91)</f>
        <v>270</v>
      </c>
      <c r="E91" s="190">
        <f>AVERAGEIFS(data!F:F,data!A:A,'weekly-forecast'!B91,data!B:B,'weekly-forecast'!C91)</f>
        <v>265</v>
      </c>
      <c r="F91" s="190">
        <v>240</v>
      </c>
      <c r="G91" s="190">
        <v>430</v>
      </c>
      <c r="H91" s="190">
        <v>312.5</v>
      </c>
      <c r="I91" s="170">
        <v>2.8836000000000004</v>
      </c>
      <c r="J91" s="190">
        <v>73.508571428571429</v>
      </c>
      <c r="K91" s="201"/>
      <c r="L91" s="201"/>
      <c r="M91" s="201"/>
      <c r="N91" s="201"/>
      <c r="O91" s="201"/>
      <c r="P91" s="201"/>
      <c r="Q91" s="171">
        <f t="shared" si="272"/>
        <v>-1.0309278350515464E-2</v>
      </c>
      <c r="R91" s="171">
        <f t="shared" si="273"/>
        <v>0</v>
      </c>
      <c r="S91" s="171">
        <f t="shared" si="274"/>
        <v>-2.037617554858934E-2</v>
      </c>
      <c r="T91" s="171">
        <f t="shared" si="275"/>
        <v>6.3274336283185906E-2</v>
      </c>
      <c r="U91" s="171">
        <f t="shared" si="276"/>
        <v>0</v>
      </c>
      <c r="V91" s="171">
        <f t="shared" si="254"/>
        <v>0</v>
      </c>
      <c r="W91" s="171">
        <f t="shared" si="277"/>
        <v>0</v>
      </c>
      <c r="X91" s="172">
        <f t="shared" si="255"/>
        <v>1.0526315789473684E-2</v>
      </c>
      <c r="Y91" s="172">
        <f t="shared" si="256"/>
        <v>0</v>
      </c>
      <c r="Z91" s="172">
        <f t="shared" si="257"/>
        <v>-3.8461538461538464E-2</v>
      </c>
      <c r="AA91" s="172">
        <f t="shared" si="258"/>
        <v>0.20511534603811438</v>
      </c>
      <c r="AB91" s="172">
        <f t="shared" si="259"/>
        <v>-2.3356337850338752E-2</v>
      </c>
      <c r="AC91" s="172">
        <f t="shared" si="232"/>
        <v>0</v>
      </c>
      <c r="AD91" s="172">
        <f t="shared" ref="AD91" si="289">(E91-E95)/E95</f>
        <v>2.3166023166023165E-2</v>
      </c>
      <c r="AE91" s="172">
        <f t="shared" si="261"/>
        <v>0.23393316195372751</v>
      </c>
      <c r="AF91" s="172">
        <f t="shared" si="262"/>
        <v>-0.21818181818181817</v>
      </c>
      <c r="AG91" s="172">
        <f t="shared" si="263"/>
        <v>-5.3030303030303032E-2</v>
      </c>
      <c r="AH91" s="172">
        <f t="shared" si="264"/>
        <v>-7.0705768611021527E-2</v>
      </c>
      <c r="AI91" s="172">
        <f t="shared" si="265"/>
        <v>-0.10558676432245373</v>
      </c>
      <c r="AJ91" s="172">
        <f t="shared" si="234"/>
        <v>-3.5714285714285712E-2</v>
      </c>
      <c r="AK91" s="172">
        <f t="shared" ref="AK91" si="290">(E91-E143)/E143</f>
        <v>-0.11666666666666667</v>
      </c>
    </row>
    <row r="92" spans="1:37" x14ac:dyDescent="0.3">
      <c r="A92" s="169">
        <v>45604</v>
      </c>
      <c r="B92" s="159">
        <f t="shared" si="270"/>
        <v>2024</v>
      </c>
      <c r="C92" s="159">
        <f t="shared" si="271"/>
        <v>11</v>
      </c>
      <c r="D92" s="190">
        <f>AVERAGEIFS(data!G:G,data!A:A,'weekly-forecast'!B92,data!B:B,'weekly-forecast'!C92)</f>
        <v>270</v>
      </c>
      <c r="E92" s="190">
        <f>AVERAGEIFS(data!F:F,data!A:A,'weekly-forecast'!B92,data!B:B,'weekly-forecast'!C92)</f>
        <v>265</v>
      </c>
      <c r="F92" s="190">
        <v>242.5</v>
      </c>
      <c r="G92" s="190">
        <v>430</v>
      </c>
      <c r="H92" s="190">
        <v>319</v>
      </c>
      <c r="I92" s="170">
        <v>2.7120000000000002</v>
      </c>
      <c r="J92" s="190">
        <v>73.508571428571429</v>
      </c>
      <c r="K92" s="201"/>
      <c r="L92" s="201"/>
      <c r="M92" s="201"/>
      <c r="N92" s="201"/>
      <c r="O92" s="201"/>
      <c r="P92" s="201"/>
      <c r="Q92" s="171">
        <f t="shared" si="272"/>
        <v>-1.020408163265306E-2</v>
      </c>
      <c r="R92" s="171">
        <f t="shared" si="273"/>
        <v>0</v>
      </c>
      <c r="S92" s="171">
        <f t="shared" si="274"/>
        <v>-1.8461538461538463E-2</v>
      </c>
      <c r="T92" s="171">
        <f t="shared" si="275"/>
        <v>5.3613053613053567E-2</v>
      </c>
      <c r="U92" s="171">
        <f t="shared" si="276"/>
        <v>0</v>
      </c>
      <c r="V92" s="171">
        <f t="shared" si="254"/>
        <v>0</v>
      </c>
      <c r="W92" s="171">
        <f t="shared" si="277"/>
        <v>0</v>
      </c>
      <c r="X92" s="172">
        <f t="shared" si="255"/>
        <v>2.1052631578947368E-2</v>
      </c>
      <c r="Y92" s="172">
        <f t="shared" si="256"/>
        <v>0</v>
      </c>
      <c r="Z92" s="172">
        <f t="shared" si="257"/>
        <v>-3.3333333333333333E-2</v>
      </c>
      <c r="AA92" s="172">
        <f t="shared" si="258"/>
        <v>8.4783578759481271E-3</v>
      </c>
      <c r="AB92" s="172">
        <f t="shared" si="259"/>
        <v>-2.3356337850338752E-2</v>
      </c>
      <c r="AC92" s="172">
        <f t="shared" si="232"/>
        <v>0</v>
      </c>
      <c r="AD92" s="172">
        <f t="shared" ref="AD92" si="291">(E92-E96)/E96</f>
        <v>2.3166023166023165E-2</v>
      </c>
      <c r="AE92" s="172">
        <f t="shared" si="261"/>
        <v>0.2467866323907455</v>
      </c>
      <c r="AF92" s="172">
        <f t="shared" si="262"/>
        <v>-0.21818181818181817</v>
      </c>
      <c r="AG92" s="172">
        <f t="shared" si="263"/>
        <v>-8.8571428571428565E-2</v>
      </c>
      <c r="AH92" s="172">
        <f t="shared" si="264"/>
        <v>-0.129876796714579</v>
      </c>
      <c r="AI92" s="172">
        <f t="shared" si="265"/>
        <v>-0.10558676432245373</v>
      </c>
      <c r="AJ92" s="172">
        <f t="shared" si="234"/>
        <v>-3.5714285714285712E-2</v>
      </c>
      <c r="AK92" s="172">
        <f t="shared" ref="AK92" si="292">(E92-E144)/E144</f>
        <v>-0.11666666666666667</v>
      </c>
    </row>
    <row r="93" spans="1:37" x14ac:dyDescent="0.3">
      <c r="A93" s="169">
        <v>45597</v>
      </c>
      <c r="B93" s="159">
        <f t="shared" si="270"/>
        <v>2024</v>
      </c>
      <c r="C93" s="159">
        <f t="shared" si="271"/>
        <v>11</v>
      </c>
      <c r="D93" s="190">
        <f>AVERAGEIFS(data!G:G,data!A:A,'weekly-forecast'!B93,data!B:B,'weekly-forecast'!C93)</f>
        <v>270</v>
      </c>
      <c r="E93" s="190">
        <f>AVERAGEIFS(data!F:F,data!A:A,'weekly-forecast'!B93,data!B:B,'weekly-forecast'!C93)</f>
        <v>265</v>
      </c>
      <c r="F93" s="190">
        <v>245</v>
      </c>
      <c r="G93" s="190">
        <v>430</v>
      </c>
      <c r="H93" s="190">
        <v>325</v>
      </c>
      <c r="I93" s="170">
        <v>2.5740000000000003</v>
      </c>
      <c r="J93" s="190">
        <v>73.508571428571429</v>
      </c>
      <c r="K93" s="202"/>
      <c r="L93" s="202"/>
      <c r="M93" s="202"/>
      <c r="N93" s="202"/>
      <c r="O93" s="202"/>
      <c r="P93" s="202"/>
      <c r="Q93" s="171">
        <f t="shared" si="272"/>
        <v>-1.0101010101010102E-2</v>
      </c>
      <c r="R93" s="171">
        <f t="shared" si="273"/>
        <v>0</v>
      </c>
      <c r="S93" s="171">
        <f t="shared" si="274"/>
        <v>0</v>
      </c>
      <c r="T93" s="171">
        <f t="shared" si="275"/>
        <v>6.8315763260563017E-2</v>
      </c>
      <c r="U93" s="171">
        <f t="shared" si="276"/>
        <v>-2.3356337850338752E-2</v>
      </c>
      <c r="V93" s="171">
        <f t="shared" si="254"/>
        <v>0</v>
      </c>
      <c r="W93" s="171">
        <f t="shared" si="277"/>
        <v>2.3166023166023165E-2</v>
      </c>
      <c r="X93" s="172">
        <f t="shared" si="255"/>
        <v>-1.0101010101010102E-2</v>
      </c>
      <c r="Y93" s="172">
        <f t="shared" si="256"/>
        <v>0</v>
      </c>
      <c r="Z93" s="172">
        <f t="shared" si="257"/>
        <v>5.6910569105691054E-2</v>
      </c>
      <c r="AA93" s="172">
        <f t="shared" si="258"/>
        <v>-0.11418542225893036</v>
      </c>
      <c r="AB93" s="172">
        <f t="shared" si="259"/>
        <v>-2.3356337850338752E-2</v>
      </c>
      <c r="AC93" s="172">
        <f t="shared" si="232"/>
        <v>0</v>
      </c>
      <c r="AD93" s="172">
        <f t="shared" ref="AD93" si="293">(E93-E97)/E97</f>
        <v>2.3166023166023165E-2</v>
      </c>
      <c r="AE93" s="172">
        <f t="shared" si="261"/>
        <v>0.20987654320987653</v>
      </c>
      <c r="AF93" s="172">
        <f t="shared" si="262"/>
        <v>-0.21818181818181817</v>
      </c>
      <c r="AG93" s="172">
        <f t="shared" si="263"/>
        <v>-9.0909090909090912E-2</v>
      </c>
      <c r="AH93" s="172">
        <f t="shared" si="264"/>
        <v>-0.26068474264705882</v>
      </c>
      <c r="AI93" s="172">
        <f t="shared" si="265"/>
        <v>-0.10558676432245373</v>
      </c>
      <c r="AJ93" s="172">
        <f t="shared" si="234"/>
        <v>-3.5714285714285712E-2</v>
      </c>
      <c r="AK93" s="172">
        <f t="shared" ref="AK93" si="294">(E93-E145)/E145</f>
        <v>-0.11666666666666667</v>
      </c>
    </row>
    <row r="94" spans="1:37" x14ac:dyDescent="0.3">
      <c r="A94" s="169">
        <v>45590</v>
      </c>
      <c r="B94" s="159">
        <f t="shared" si="270"/>
        <v>2024</v>
      </c>
      <c r="C94" s="159">
        <f t="shared" si="271"/>
        <v>10</v>
      </c>
      <c r="D94" s="190">
        <f>AVERAGEIFS(data!G:G,data!A:A,'weekly-forecast'!B94,data!B:B,'weekly-forecast'!C94)</f>
        <v>270</v>
      </c>
      <c r="E94" s="190">
        <f>AVERAGEIFS(data!F:F,data!A:A,'weekly-forecast'!B94,data!B:B,'weekly-forecast'!C94)</f>
        <v>259</v>
      </c>
      <c r="F94" s="190">
        <v>247.5</v>
      </c>
      <c r="G94" s="190">
        <v>430</v>
      </c>
      <c r="H94" s="190">
        <v>325</v>
      </c>
      <c r="I94" s="170">
        <v>2.4093999999999998</v>
      </c>
      <c r="J94" s="190">
        <v>75.266521739130425</v>
      </c>
      <c r="K94" s="200">
        <f>AVERAGE(D94:D97)</f>
        <v>270</v>
      </c>
      <c r="L94" s="200">
        <f t="shared" ref="L94:P94" si="295">AVERAGE(E94:E97)</f>
        <v>259</v>
      </c>
      <c r="M94" s="200">
        <f t="shared" si="295"/>
        <v>242.5</v>
      </c>
      <c r="N94" s="200">
        <f t="shared" si="295"/>
        <v>430</v>
      </c>
      <c r="O94" s="200">
        <f t="shared" si="295"/>
        <v>321.875</v>
      </c>
      <c r="P94" s="200">
        <f t="shared" si="295"/>
        <v>2.5993000000000004</v>
      </c>
      <c r="Q94" s="171">
        <f t="shared" si="272"/>
        <v>4.2105263157894736E-2</v>
      </c>
      <c r="R94" s="171">
        <f t="shared" si="273"/>
        <v>0</v>
      </c>
      <c r="S94" s="171">
        <f t="shared" si="274"/>
        <v>0</v>
      </c>
      <c r="T94" s="171">
        <f t="shared" si="275"/>
        <v>6.9374791039783943E-3</v>
      </c>
      <c r="U94" s="171">
        <f t="shared" si="276"/>
        <v>0</v>
      </c>
      <c r="V94" s="171">
        <f t="shared" si="254"/>
        <v>0</v>
      </c>
      <c r="W94" s="171">
        <f t="shared" si="277"/>
        <v>0</v>
      </c>
      <c r="X94" s="172">
        <f t="shared" si="255"/>
        <v>0</v>
      </c>
      <c r="Y94" s="172">
        <f t="shared" si="256"/>
        <v>0</v>
      </c>
      <c r="Z94" s="172">
        <f t="shared" si="257"/>
        <v>5.6910569105691054E-2</v>
      </c>
      <c r="AA94" s="172">
        <f t="shared" si="258"/>
        <v>-9.3392534617700251E-2</v>
      </c>
      <c r="AB94" s="172">
        <f t="shared" si="259"/>
        <v>3.0235076372686104E-2</v>
      </c>
      <c r="AC94" s="172">
        <f t="shared" si="232"/>
        <v>7.1428571428571425E-2</v>
      </c>
      <c r="AD94" s="172">
        <f t="shared" ref="AD94" si="296">(E94-E98)/E98</f>
        <v>0.13100436681222707</v>
      </c>
      <c r="AE94" s="172">
        <f t="shared" si="261"/>
        <v>0.19277108433734941</v>
      </c>
      <c r="AF94" s="172">
        <f t="shared" si="262"/>
        <v>-0.21818181818181817</v>
      </c>
      <c r="AG94" s="172">
        <f t="shared" si="263"/>
        <v>-5.7971014492753624E-2</v>
      </c>
      <c r="AH94" s="172">
        <f t="shared" si="264"/>
        <v>-0.21184167484461897</v>
      </c>
      <c r="AI94" s="172">
        <f t="shared" si="265"/>
        <v>-0.1538117493620515</v>
      </c>
      <c r="AJ94" s="172">
        <f t="shared" si="234"/>
        <v>-3.5714285714285712E-2</v>
      </c>
      <c r="AK94" s="172">
        <f t="shared" ref="AK94" si="297">(E94-E146)/E146</f>
        <v>3.5999999999999997E-2</v>
      </c>
    </row>
    <row r="95" spans="1:37" x14ac:dyDescent="0.3">
      <c r="A95" s="169">
        <v>45583</v>
      </c>
      <c r="B95" s="159">
        <f t="shared" si="270"/>
        <v>2024</v>
      </c>
      <c r="C95" s="159">
        <f t="shared" si="271"/>
        <v>10</v>
      </c>
      <c r="D95" s="190">
        <f>AVERAGEIFS(data!G:G,data!A:A,'weekly-forecast'!B95,data!B:B,'weekly-forecast'!C95)</f>
        <v>270</v>
      </c>
      <c r="E95" s="190">
        <f>AVERAGEIFS(data!F:F,data!A:A,'weekly-forecast'!B95,data!B:B,'weekly-forecast'!C95)</f>
        <v>259</v>
      </c>
      <c r="F95" s="190">
        <v>237.5</v>
      </c>
      <c r="G95" s="190">
        <v>430</v>
      </c>
      <c r="H95" s="190">
        <v>325</v>
      </c>
      <c r="I95" s="170">
        <v>2.3928000000000003</v>
      </c>
      <c r="J95" s="190">
        <v>75.266521739130425</v>
      </c>
      <c r="K95" s="201"/>
      <c r="L95" s="201"/>
      <c r="M95" s="201"/>
      <c r="N95" s="201"/>
      <c r="O95" s="201"/>
      <c r="P95" s="201"/>
      <c r="Q95" s="171">
        <f t="shared" si="272"/>
        <v>0</v>
      </c>
      <c r="R95" s="171">
        <f t="shared" si="273"/>
        <v>0</v>
      </c>
      <c r="S95" s="171">
        <f t="shared" si="274"/>
        <v>-1.5151515151515152E-2</v>
      </c>
      <c r="T95" s="171">
        <f t="shared" si="275"/>
        <v>-0.11021865238732714</v>
      </c>
      <c r="U95" s="171">
        <f t="shared" si="276"/>
        <v>0</v>
      </c>
      <c r="V95" s="171">
        <f t="shared" si="254"/>
        <v>0</v>
      </c>
      <c r="W95" s="171">
        <f t="shared" si="277"/>
        <v>0</v>
      </c>
      <c r="X95" s="172">
        <f t="shared" si="255"/>
        <v>-0.05</v>
      </c>
      <c r="Y95" s="172">
        <f t="shared" si="256"/>
        <v>0</v>
      </c>
      <c r="Z95" s="172">
        <f t="shared" si="257"/>
        <v>7.43801652892562E-2</v>
      </c>
      <c r="AA95" s="172">
        <f t="shared" si="258"/>
        <v>1.7087477684264222E-2</v>
      </c>
      <c r="AB95" s="172">
        <f t="shared" si="259"/>
        <v>3.0235076372686104E-2</v>
      </c>
      <c r="AC95" s="172">
        <f t="shared" si="232"/>
        <v>7.1428571428571425E-2</v>
      </c>
      <c r="AD95" s="172">
        <f t="shared" ref="AD95" si="298">(E95-E99)/E99</f>
        <v>0.13100436681222707</v>
      </c>
      <c r="AE95" s="172">
        <f t="shared" si="261"/>
        <v>3.2608695652173912E-2</v>
      </c>
      <c r="AF95" s="172">
        <f t="shared" si="262"/>
        <v>-0.21818181818181817</v>
      </c>
      <c r="AG95" s="172">
        <f t="shared" si="263"/>
        <v>-9.7222222222222224E-2</v>
      </c>
      <c r="AH95" s="172">
        <f t="shared" si="264"/>
        <v>-0.20768211920529794</v>
      </c>
      <c r="AI95" s="172">
        <f t="shared" si="265"/>
        <v>-0.1538117493620515</v>
      </c>
      <c r="AJ95" s="172">
        <f t="shared" si="234"/>
        <v>-3.5714285714285712E-2</v>
      </c>
      <c r="AK95" s="172">
        <f t="shared" ref="AK95" si="299">(E95-E147)/E147</f>
        <v>3.5999999999999997E-2</v>
      </c>
    </row>
    <row r="96" spans="1:37" x14ac:dyDescent="0.3">
      <c r="A96" s="169">
        <v>45576</v>
      </c>
      <c r="B96" s="159">
        <f t="shared" si="270"/>
        <v>2024</v>
      </c>
      <c r="C96" s="159">
        <f t="shared" si="271"/>
        <v>10</v>
      </c>
      <c r="D96" s="190">
        <f>AVERAGEIFS(data!G:G,data!A:A,'weekly-forecast'!B96,data!B:B,'weekly-forecast'!C96)</f>
        <v>270</v>
      </c>
      <c r="E96" s="190">
        <f>AVERAGEIFS(data!F:F,data!A:A,'weekly-forecast'!B96,data!B:B,'weekly-forecast'!C96)</f>
        <v>259</v>
      </c>
      <c r="F96" s="190">
        <v>237.5</v>
      </c>
      <c r="G96" s="190">
        <v>430</v>
      </c>
      <c r="H96" s="190">
        <v>330</v>
      </c>
      <c r="I96" s="170">
        <v>2.6892000000000005</v>
      </c>
      <c r="J96" s="190">
        <v>75.266521739130425</v>
      </c>
      <c r="K96" s="201"/>
      <c r="L96" s="201"/>
      <c r="M96" s="201"/>
      <c r="N96" s="201"/>
      <c r="O96" s="201"/>
      <c r="P96" s="201"/>
      <c r="Q96" s="171">
        <f t="shared" si="272"/>
        <v>-4.0404040404040407E-2</v>
      </c>
      <c r="R96" s="171">
        <f t="shared" si="273"/>
        <v>0</v>
      </c>
      <c r="S96" s="171">
        <f t="shared" si="274"/>
        <v>7.3170731707317069E-2</v>
      </c>
      <c r="T96" s="171">
        <f t="shared" si="275"/>
        <v>-7.4540574024364953E-2</v>
      </c>
      <c r="U96" s="171">
        <f t="shared" si="276"/>
        <v>0</v>
      </c>
      <c r="V96" s="171">
        <f t="shared" si="254"/>
        <v>0</v>
      </c>
      <c r="W96" s="171">
        <f t="shared" si="277"/>
        <v>0</v>
      </c>
      <c r="X96" s="172">
        <f t="shared" si="255"/>
        <v>-5.9405940594059403E-2</v>
      </c>
      <c r="Y96" s="172">
        <f t="shared" si="256"/>
        <v>0.23741007194244604</v>
      </c>
      <c r="Z96" s="172">
        <f t="shared" si="257"/>
        <v>0.1092436974789916</v>
      </c>
      <c r="AA96" s="172">
        <f t="shared" si="258"/>
        <v>0.18634197988353629</v>
      </c>
      <c r="AB96" s="172">
        <f t="shared" si="259"/>
        <v>3.0235076372686104E-2</v>
      </c>
      <c r="AC96" s="172">
        <f t="shared" si="232"/>
        <v>7.1428571428571425E-2</v>
      </c>
      <c r="AD96" s="172">
        <f t="shared" ref="AD96" si="300">(E96-E100)/E100</f>
        <v>0.13100436681222707</v>
      </c>
      <c r="AE96" s="172">
        <f t="shared" si="261"/>
        <v>3.2608695652173912E-2</v>
      </c>
      <c r="AF96" s="172">
        <f t="shared" si="262"/>
        <v>-0.21818181818181817</v>
      </c>
      <c r="AG96" s="172">
        <f t="shared" si="263"/>
        <v>-8.3333333333333329E-2</v>
      </c>
      <c r="AH96" s="172">
        <f t="shared" si="264"/>
        <v>-0.19557283876757389</v>
      </c>
      <c r="AI96" s="172">
        <f t="shared" si="265"/>
        <v>-0.1538117493620515</v>
      </c>
      <c r="AJ96" s="172">
        <f t="shared" si="234"/>
        <v>-3.5714285714285712E-2</v>
      </c>
      <c r="AK96" s="172">
        <f t="shared" ref="AK96" si="301">(E96-E148)/E148</f>
        <v>3.5999999999999997E-2</v>
      </c>
    </row>
    <row r="97" spans="1:37" x14ac:dyDescent="0.3">
      <c r="A97" s="169">
        <v>45569</v>
      </c>
      <c r="B97" s="159">
        <f t="shared" si="270"/>
        <v>2024</v>
      </c>
      <c r="C97" s="159">
        <f t="shared" si="271"/>
        <v>10</v>
      </c>
      <c r="D97" s="190">
        <f>AVERAGEIFS(data!G:G,data!A:A,'weekly-forecast'!B97,data!B:B,'weekly-forecast'!C97)</f>
        <v>270</v>
      </c>
      <c r="E97" s="190">
        <f>AVERAGEIFS(data!F:F,data!A:A,'weekly-forecast'!B97,data!B:B,'weekly-forecast'!C97)</f>
        <v>259</v>
      </c>
      <c r="F97" s="190">
        <v>247.5</v>
      </c>
      <c r="G97" s="190">
        <v>430</v>
      </c>
      <c r="H97" s="190">
        <v>307.5</v>
      </c>
      <c r="I97" s="170">
        <v>2.9058000000000002</v>
      </c>
      <c r="J97" s="190">
        <v>75.266521739130425</v>
      </c>
      <c r="K97" s="202"/>
      <c r="L97" s="202"/>
      <c r="M97" s="202"/>
      <c r="N97" s="202"/>
      <c r="O97" s="202"/>
      <c r="P97" s="202"/>
      <c r="Q97" s="171">
        <f t="shared" si="272"/>
        <v>0</v>
      </c>
      <c r="R97" s="171">
        <f t="shared" si="273"/>
        <v>0</v>
      </c>
      <c r="S97" s="171">
        <f t="shared" si="274"/>
        <v>0</v>
      </c>
      <c r="T97" s="171">
        <f t="shared" si="275"/>
        <v>9.3392534617700251E-2</v>
      </c>
      <c r="U97" s="171">
        <f t="shared" si="276"/>
        <v>3.0235076372686104E-2</v>
      </c>
      <c r="V97" s="171">
        <f t="shared" si="254"/>
        <v>7.1428571428571425E-2</v>
      </c>
      <c r="W97" s="171">
        <f t="shared" si="277"/>
        <v>0.13100436681222707</v>
      </c>
      <c r="X97" s="172">
        <f t="shared" si="255"/>
        <v>2.0618556701030927E-2</v>
      </c>
      <c r="Y97" s="172">
        <f t="shared" si="256"/>
        <v>0.23741007194244604</v>
      </c>
      <c r="Z97" s="172">
        <f t="shared" si="257"/>
        <v>2.5000000000000001E-2</v>
      </c>
      <c r="AA97" s="172">
        <f t="shared" si="258"/>
        <v>0.30936127069956088</v>
      </c>
      <c r="AB97" s="172">
        <f t="shared" si="259"/>
        <v>3.0235076372686104E-2</v>
      </c>
      <c r="AC97" s="172">
        <f t="shared" si="232"/>
        <v>7.1428571428571425E-2</v>
      </c>
      <c r="AD97" s="172">
        <f t="shared" ref="AD97" si="302">(E97-E101)/E101</f>
        <v>0.13100436681222707</v>
      </c>
      <c r="AE97" s="172">
        <f t="shared" si="261"/>
        <v>0.15116279069767441</v>
      </c>
      <c r="AF97" s="172">
        <f t="shared" si="262"/>
        <v>-0.21818181818181817</v>
      </c>
      <c r="AG97" s="172">
        <f t="shared" si="263"/>
        <v>-0.14583333333333334</v>
      </c>
      <c r="AH97" s="172">
        <f t="shared" si="264"/>
        <v>-4.7590953785643909E-2</v>
      </c>
      <c r="AI97" s="172">
        <f t="shared" si="265"/>
        <v>-0.1538117493620515</v>
      </c>
      <c r="AJ97" s="172">
        <f t="shared" si="234"/>
        <v>-3.5714285714285712E-2</v>
      </c>
      <c r="AK97" s="172">
        <f t="shared" ref="AK97" si="303">(E97-E149)/E149</f>
        <v>3.5999999999999997E-2</v>
      </c>
    </row>
    <row r="98" spans="1:37" x14ac:dyDescent="0.3">
      <c r="A98" s="169">
        <v>45562</v>
      </c>
      <c r="B98" s="159">
        <f t="shared" si="270"/>
        <v>2024</v>
      </c>
      <c r="C98" s="159">
        <f t="shared" si="271"/>
        <v>9</v>
      </c>
      <c r="D98" s="190">
        <f>AVERAGEIFS(data!G:G,data!A:A,'weekly-forecast'!B98,data!B:B,'weekly-forecast'!C98)</f>
        <v>252</v>
      </c>
      <c r="E98" s="190">
        <f>AVERAGEIFS(data!F:F,data!A:A,'weekly-forecast'!B98,data!B:B,'weekly-forecast'!C98)</f>
        <v>229</v>
      </c>
      <c r="F98" s="190">
        <v>247.5</v>
      </c>
      <c r="G98" s="190">
        <v>430</v>
      </c>
      <c r="H98" s="190">
        <v>307.5</v>
      </c>
      <c r="I98" s="170">
        <v>2.6576</v>
      </c>
      <c r="J98" s="190">
        <v>73.057619047619056</v>
      </c>
      <c r="K98" s="200">
        <f>AVERAGE(D98:D101)</f>
        <v>252</v>
      </c>
      <c r="L98" s="200">
        <f t="shared" ref="L98:P98" si="304">AVERAGE(E98:E101)</f>
        <v>229</v>
      </c>
      <c r="M98" s="200">
        <f t="shared" si="304"/>
        <v>248.125</v>
      </c>
      <c r="N98" s="200">
        <f t="shared" si="304"/>
        <v>388.75</v>
      </c>
      <c r="O98" s="200">
        <f t="shared" si="304"/>
        <v>301.875</v>
      </c>
      <c r="P98" s="200">
        <f t="shared" si="304"/>
        <v>2.3740625</v>
      </c>
      <c r="Q98" s="171">
        <f t="shared" si="272"/>
        <v>-0.01</v>
      </c>
      <c r="R98" s="171">
        <f t="shared" si="273"/>
        <v>0</v>
      </c>
      <c r="S98" s="171">
        <f t="shared" si="274"/>
        <v>1.6528925619834711E-2</v>
      </c>
      <c r="T98" s="171">
        <f t="shared" si="275"/>
        <v>0.12964379835076073</v>
      </c>
      <c r="U98" s="171">
        <f t="shared" si="276"/>
        <v>0</v>
      </c>
      <c r="V98" s="171">
        <f t="shared" si="254"/>
        <v>0</v>
      </c>
      <c r="W98" s="171">
        <f t="shared" si="277"/>
        <v>0</v>
      </c>
      <c r="X98" s="172">
        <f t="shared" si="255"/>
        <v>0</v>
      </c>
      <c r="Y98" s="172">
        <f t="shared" si="256"/>
        <v>0.19444444444444445</v>
      </c>
      <c r="Z98" s="172">
        <f t="shared" si="257"/>
        <v>1.6528925619834711E-2</v>
      </c>
      <c r="AA98" s="172">
        <f t="shared" si="258"/>
        <v>0.32166301969365446</v>
      </c>
      <c r="AB98" s="172">
        <f t="shared" si="259"/>
        <v>-7.5438119288534181E-2</v>
      </c>
      <c r="AC98" s="172">
        <f t="shared" si="232"/>
        <v>-9.0252707581227443E-2</v>
      </c>
      <c r="AD98" s="172">
        <f t="shared" ref="AD98" si="305">(E98-E102)/E102</f>
        <v>-8.4000000000000005E-2</v>
      </c>
      <c r="AE98" s="172">
        <f t="shared" si="261"/>
        <v>5.3191489361702128E-2</v>
      </c>
      <c r="AF98" s="172">
        <f t="shared" si="262"/>
        <v>-0.21818181818181817</v>
      </c>
      <c r="AG98" s="172">
        <f t="shared" si="263"/>
        <v>-0.12142857142857143</v>
      </c>
      <c r="AH98" s="172">
        <f t="shared" si="264"/>
        <v>-4.6292973516112827E-2</v>
      </c>
      <c r="AI98" s="172">
        <f t="shared" si="265"/>
        <v>-0.21166514228164446</v>
      </c>
      <c r="AJ98" s="172">
        <f t="shared" si="234"/>
        <v>-0.1</v>
      </c>
      <c r="AK98" s="172">
        <f t="shared" ref="AK98" si="306">(E98-E150)/E150</f>
        <v>-8.4000000000000005E-2</v>
      </c>
    </row>
    <row r="99" spans="1:37" x14ac:dyDescent="0.3">
      <c r="A99" s="169">
        <v>45555</v>
      </c>
      <c r="B99" s="159">
        <f t="shared" si="270"/>
        <v>2024</v>
      </c>
      <c r="C99" s="159">
        <f t="shared" si="271"/>
        <v>9</v>
      </c>
      <c r="D99" s="190">
        <f>AVERAGEIFS(data!G:G,data!A:A,'weekly-forecast'!B99,data!B:B,'weekly-forecast'!C99)</f>
        <v>252</v>
      </c>
      <c r="E99" s="190">
        <f>AVERAGEIFS(data!F:F,data!A:A,'weekly-forecast'!B99,data!B:B,'weekly-forecast'!C99)</f>
        <v>229</v>
      </c>
      <c r="F99" s="190">
        <v>250</v>
      </c>
      <c r="G99" s="190">
        <v>430</v>
      </c>
      <c r="H99" s="190">
        <v>302.5</v>
      </c>
      <c r="I99" s="170">
        <v>2.3526000000000002</v>
      </c>
      <c r="J99" s="190">
        <v>73.057619047619056</v>
      </c>
      <c r="K99" s="201"/>
      <c r="L99" s="201"/>
      <c r="M99" s="201"/>
      <c r="N99" s="201"/>
      <c r="O99" s="201"/>
      <c r="P99" s="201"/>
      <c r="Q99" s="171">
        <f t="shared" si="272"/>
        <v>-9.9009900990099011E-3</v>
      </c>
      <c r="R99" s="171">
        <f t="shared" si="273"/>
        <v>0.23741007194244604</v>
      </c>
      <c r="S99" s="171">
        <f t="shared" si="274"/>
        <v>1.680672268907563E-2</v>
      </c>
      <c r="T99" s="171">
        <f t="shared" si="275"/>
        <v>3.7850714663843245E-2</v>
      </c>
      <c r="U99" s="171">
        <f t="shared" si="276"/>
        <v>0</v>
      </c>
      <c r="V99" s="171">
        <f t="shared" si="254"/>
        <v>0</v>
      </c>
      <c r="W99" s="171">
        <f t="shared" si="277"/>
        <v>0</v>
      </c>
      <c r="X99" s="172">
        <f t="shared" si="255"/>
        <v>3.0927835051546393E-2</v>
      </c>
      <c r="Y99" s="172">
        <f t="shared" si="256"/>
        <v>0.21985815602836881</v>
      </c>
      <c r="Z99" s="172">
        <f t="shared" si="257"/>
        <v>8.3333333333333332E-3</v>
      </c>
      <c r="AA99" s="172">
        <f t="shared" si="258"/>
        <v>0.10088909686476402</v>
      </c>
      <c r="AB99" s="172">
        <f t="shared" si="259"/>
        <v>-7.5438119288534181E-2</v>
      </c>
      <c r="AC99" s="172">
        <f t="shared" si="232"/>
        <v>-9.0252707581227443E-2</v>
      </c>
      <c r="AD99" s="172">
        <f t="shared" ref="AD99" si="307">(E99-E103)/E103</f>
        <v>-8.4000000000000005E-2</v>
      </c>
      <c r="AE99" s="172">
        <f t="shared" si="261"/>
        <v>4.1666666666666664E-2</v>
      </c>
      <c r="AF99" s="172">
        <f t="shared" si="262"/>
        <v>-3.3707865168539325E-2</v>
      </c>
      <c r="AG99" s="172">
        <f t="shared" si="263"/>
        <v>-0.1357142857142857</v>
      </c>
      <c r="AH99" s="172">
        <f t="shared" si="264"/>
        <v>-0.13226615520802582</v>
      </c>
      <c r="AI99" s="172">
        <f t="shared" si="265"/>
        <v>-0.21166514228164446</v>
      </c>
      <c r="AJ99" s="172">
        <f t="shared" si="234"/>
        <v>-0.1</v>
      </c>
      <c r="AK99" s="172">
        <f t="shared" ref="AK99" si="308">(E99-E151)/E151</f>
        <v>-8.4000000000000005E-2</v>
      </c>
    </row>
    <row r="100" spans="1:37" x14ac:dyDescent="0.3">
      <c r="A100" s="169">
        <v>45548</v>
      </c>
      <c r="B100" s="159">
        <f t="shared" si="270"/>
        <v>2024</v>
      </c>
      <c r="C100" s="159">
        <f t="shared" si="271"/>
        <v>9</v>
      </c>
      <c r="D100" s="190">
        <f>AVERAGEIFS(data!G:G,data!A:A,'weekly-forecast'!B100,data!B:B,'weekly-forecast'!C100)</f>
        <v>252</v>
      </c>
      <c r="E100" s="190">
        <f>AVERAGEIFS(data!F:F,data!A:A,'weekly-forecast'!B100,data!B:B,'weekly-forecast'!C100)</f>
        <v>229</v>
      </c>
      <c r="F100" s="190">
        <v>252.5</v>
      </c>
      <c r="G100" s="190">
        <v>347.5</v>
      </c>
      <c r="H100" s="190">
        <v>297.5</v>
      </c>
      <c r="I100" s="170">
        <v>2.2668000000000004</v>
      </c>
      <c r="J100" s="190">
        <v>73.057619047619056</v>
      </c>
      <c r="K100" s="201"/>
      <c r="L100" s="201"/>
      <c r="M100" s="201"/>
      <c r="N100" s="201"/>
      <c r="O100" s="201"/>
      <c r="P100" s="201"/>
      <c r="Q100" s="171">
        <f t="shared" si="272"/>
        <v>4.1237113402061855E-2</v>
      </c>
      <c r="R100" s="171">
        <f t="shared" si="273"/>
        <v>0</v>
      </c>
      <c r="S100" s="171">
        <f t="shared" si="274"/>
        <v>-8.3333333333333332E-3</v>
      </c>
      <c r="T100" s="171">
        <f t="shared" si="275"/>
        <v>2.1426157485637334E-2</v>
      </c>
      <c r="U100" s="171">
        <f t="shared" si="276"/>
        <v>0</v>
      </c>
      <c r="V100" s="171">
        <f t="shared" si="254"/>
        <v>0</v>
      </c>
      <c r="W100" s="171">
        <f t="shared" si="277"/>
        <v>0</v>
      </c>
      <c r="X100" s="172">
        <f t="shared" si="255"/>
        <v>4.1237113402061855E-2</v>
      </c>
      <c r="Y100" s="172">
        <f t="shared" si="256"/>
        <v>-2.1126760563380281E-2</v>
      </c>
      <c r="Z100" s="172">
        <f t="shared" si="257"/>
        <v>-8.3333333333333332E-3</v>
      </c>
      <c r="AA100" s="172">
        <f t="shared" si="258"/>
        <v>4.2111070246414389E-2</v>
      </c>
      <c r="AB100" s="172">
        <f t="shared" si="259"/>
        <v>-7.5438119288534181E-2</v>
      </c>
      <c r="AC100" s="172">
        <f t="shared" si="232"/>
        <v>-9.0252707581227443E-2</v>
      </c>
      <c r="AD100" s="172">
        <f t="shared" ref="AD100" si="309">(E100-E104)/E104</f>
        <v>-8.4000000000000005E-2</v>
      </c>
      <c r="AE100" s="172">
        <f t="shared" si="261"/>
        <v>-9.8214285714285712E-2</v>
      </c>
      <c r="AF100" s="172">
        <f t="shared" si="262"/>
        <v>-0.21910112359550563</v>
      </c>
      <c r="AG100" s="172">
        <f t="shared" si="263"/>
        <v>-0.15</v>
      </c>
      <c r="AH100" s="172">
        <f t="shared" si="264"/>
        <v>-0.15310468504819535</v>
      </c>
      <c r="AI100" s="172">
        <f t="shared" si="265"/>
        <v>-0.21166514228164446</v>
      </c>
      <c r="AJ100" s="172">
        <f t="shared" si="234"/>
        <v>-0.1</v>
      </c>
      <c r="AK100" s="172">
        <f t="shared" ref="AK100" si="310">(E100-E152)/E152</f>
        <v>-8.4000000000000005E-2</v>
      </c>
    </row>
    <row r="101" spans="1:37" x14ac:dyDescent="0.3">
      <c r="A101" s="169">
        <v>45541</v>
      </c>
      <c r="B101" s="159">
        <f t="shared" si="270"/>
        <v>2024</v>
      </c>
      <c r="C101" s="159">
        <f t="shared" si="271"/>
        <v>9</v>
      </c>
      <c r="D101" s="190">
        <f>AVERAGEIFS(data!G:G,data!A:A,'weekly-forecast'!B101,data!B:B,'weekly-forecast'!C101)</f>
        <v>252</v>
      </c>
      <c r="E101" s="190">
        <f>AVERAGEIFS(data!F:F,data!A:A,'weekly-forecast'!B101,data!B:B,'weekly-forecast'!C101)</f>
        <v>229</v>
      </c>
      <c r="F101" s="190">
        <v>242.5</v>
      </c>
      <c r="G101" s="190">
        <v>347.5</v>
      </c>
      <c r="H101" s="190">
        <v>300</v>
      </c>
      <c r="I101" s="170">
        <v>2.2192499999999997</v>
      </c>
      <c r="J101" s="190">
        <v>73.057619047619056</v>
      </c>
      <c r="K101" s="202"/>
      <c r="L101" s="202"/>
      <c r="M101" s="202"/>
      <c r="N101" s="202"/>
      <c r="O101" s="202"/>
      <c r="P101" s="202"/>
      <c r="Q101" s="171">
        <f t="shared" si="272"/>
        <v>-2.0202020202020204E-2</v>
      </c>
      <c r="R101" s="171">
        <f t="shared" si="273"/>
        <v>-3.4722222222222224E-2</v>
      </c>
      <c r="S101" s="171">
        <f t="shared" si="274"/>
        <v>-8.2644628099173556E-3</v>
      </c>
      <c r="T101" s="171">
        <f t="shared" si="275"/>
        <v>0.10366520787746174</v>
      </c>
      <c r="U101" s="171">
        <f t="shared" si="276"/>
        <v>-7.5438119288534181E-2</v>
      </c>
      <c r="V101" s="171">
        <f t="shared" si="254"/>
        <v>-9.0252707581227443E-2</v>
      </c>
      <c r="W101" s="171">
        <f t="shared" si="277"/>
        <v>-8.4000000000000005E-2</v>
      </c>
      <c r="X101" s="172">
        <f t="shared" si="255"/>
        <v>4.3010752688172046E-2</v>
      </c>
      <c r="Y101" s="172">
        <f t="shared" si="256"/>
        <v>-2.1126760563380281E-2</v>
      </c>
      <c r="Z101" s="172">
        <f t="shared" si="257"/>
        <v>-1.6393442622950821E-2</v>
      </c>
      <c r="AA101" s="172">
        <f t="shared" si="258"/>
        <v>7.3761370234178433E-2</v>
      </c>
      <c r="AB101" s="172">
        <f t="shared" si="259"/>
        <v>-7.5438119288534181E-2</v>
      </c>
      <c r="AC101" s="172">
        <f t="shared" si="232"/>
        <v>-9.0252707581227443E-2</v>
      </c>
      <c r="AD101" s="172">
        <f t="shared" ref="AD101" si="311">(E101-E105)/E105</f>
        <v>-8.4000000000000005E-2</v>
      </c>
      <c r="AE101" s="172">
        <f t="shared" si="261"/>
        <v>-0.13392857142857142</v>
      </c>
      <c r="AF101" s="172">
        <f t="shared" si="262"/>
        <v>-0.13125000000000001</v>
      </c>
      <c r="AG101" s="172">
        <f t="shared" si="263"/>
        <v>-0.20106524633821571</v>
      </c>
      <c r="AH101" s="172">
        <f t="shared" si="264"/>
        <v>-0.13614246788633719</v>
      </c>
      <c r="AI101" s="172">
        <f t="shared" si="265"/>
        <v>-0.21166514228164446</v>
      </c>
      <c r="AJ101" s="172">
        <f t="shared" si="234"/>
        <v>-0.1</v>
      </c>
      <c r="AK101" s="172">
        <f t="shared" ref="AK101" si="312">(E101-E153)/E153</f>
        <v>-8.4000000000000005E-2</v>
      </c>
    </row>
    <row r="102" spans="1:37" x14ac:dyDescent="0.3">
      <c r="A102" s="169">
        <v>45534</v>
      </c>
      <c r="B102" s="159">
        <f t="shared" si="270"/>
        <v>2024</v>
      </c>
      <c r="C102" s="159">
        <f t="shared" si="271"/>
        <v>8</v>
      </c>
      <c r="D102" s="190">
        <f>AVERAGEIFS(data!G:G,data!A:A,'weekly-forecast'!B102,data!B:B,'weekly-forecast'!C102)</f>
        <v>277</v>
      </c>
      <c r="E102" s="190">
        <f>AVERAGEIFS(data!F:F,data!A:A,'weekly-forecast'!B102,data!B:B,'weekly-forecast'!C102)</f>
        <v>250</v>
      </c>
      <c r="F102" s="190">
        <v>247.5</v>
      </c>
      <c r="G102" s="190">
        <v>360</v>
      </c>
      <c r="H102" s="190">
        <v>302.5</v>
      </c>
      <c r="I102" s="170">
        <v>2.0107999999999997</v>
      </c>
      <c r="J102" s="190">
        <v>79.018636363636361</v>
      </c>
      <c r="K102" s="200">
        <f>AVERAGE(D102:D106)</f>
        <v>277</v>
      </c>
      <c r="L102" s="200">
        <f t="shared" ref="L102:P102" si="313">AVERAGE(E102:E106)</f>
        <v>250</v>
      </c>
      <c r="M102" s="200">
        <f t="shared" si="313"/>
        <v>239</v>
      </c>
      <c r="N102" s="200">
        <f t="shared" si="313"/>
        <v>345.5</v>
      </c>
      <c r="O102" s="200">
        <f t="shared" si="313"/>
        <v>303</v>
      </c>
      <c r="P102" s="200">
        <f t="shared" si="313"/>
        <v>2.0781199999999993</v>
      </c>
      <c r="Q102" s="171">
        <f t="shared" si="272"/>
        <v>2.0618556701030927E-2</v>
      </c>
      <c r="R102" s="171">
        <f t="shared" si="273"/>
        <v>2.1276595744680851E-2</v>
      </c>
      <c r="S102" s="171">
        <f t="shared" si="274"/>
        <v>8.3333333333333332E-3</v>
      </c>
      <c r="T102" s="171">
        <f t="shared" si="275"/>
        <v>-5.9054749649040658E-2</v>
      </c>
      <c r="U102" s="171">
        <f t="shared" si="276"/>
        <v>0</v>
      </c>
      <c r="V102" s="171">
        <f t="shared" si="254"/>
        <v>0</v>
      </c>
      <c r="W102" s="171">
        <f t="shared" si="277"/>
        <v>0</v>
      </c>
      <c r="X102" s="172">
        <f t="shared" si="255"/>
        <v>7.6086956521739135E-2</v>
      </c>
      <c r="Y102" s="172">
        <f t="shared" si="256"/>
        <v>0.18032786885245902</v>
      </c>
      <c r="Z102" s="172">
        <f t="shared" si="257"/>
        <v>-1.6260162601626018E-2</v>
      </c>
      <c r="AA102" s="172">
        <f t="shared" si="258"/>
        <v>4.9980007996800217E-3</v>
      </c>
      <c r="AB102" s="172">
        <f t="shared" si="259"/>
        <v>0</v>
      </c>
      <c r="AC102" s="172">
        <f t="shared" si="232"/>
        <v>0</v>
      </c>
      <c r="AD102" s="172">
        <f t="shared" ref="AD102" si="314">(E102-E106)/E106</f>
        <v>0</v>
      </c>
      <c r="AE102" s="172">
        <f t="shared" si="261"/>
        <v>1.020408163265306E-2</v>
      </c>
      <c r="AF102" s="172">
        <f t="shared" si="262"/>
        <v>-0.1</v>
      </c>
      <c r="AG102" s="172">
        <f t="shared" si="263"/>
        <v>-5.46875E-2</v>
      </c>
      <c r="AH102" s="172">
        <f t="shared" si="264"/>
        <v>-0.25326797385620914</v>
      </c>
      <c r="AI102" s="172">
        <f t="shared" si="265"/>
        <v>-0.14734224483523084</v>
      </c>
      <c r="AJ102" s="172">
        <f t="shared" si="234"/>
        <v>-1.0714285714285714E-2</v>
      </c>
      <c r="AK102" s="172">
        <f t="shared" ref="AK102" si="315">(E102-E154)/E154</f>
        <v>0</v>
      </c>
    </row>
    <row r="103" spans="1:37" x14ac:dyDescent="0.3">
      <c r="A103" s="169">
        <v>45527</v>
      </c>
      <c r="B103" s="159">
        <f t="shared" si="270"/>
        <v>2024</v>
      </c>
      <c r="C103" s="159">
        <f t="shared" si="271"/>
        <v>8</v>
      </c>
      <c r="D103" s="190">
        <f>AVERAGEIFS(data!G:G,data!A:A,'weekly-forecast'!B103,data!B:B,'weekly-forecast'!C103)</f>
        <v>277</v>
      </c>
      <c r="E103" s="190">
        <f>AVERAGEIFS(data!F:F,data!A:A,'weekly-forecast'!B103,data!B:B,'weekly-forecast'!C103)</f>
        <v>250</v>
      </c>
      <c r="F103" s="190">
        <v>242.5</v>
      </c>
      <c r="G103" s="190">
        <v>352.5</v>
      </c>
      <c r="H103" s="190">
        <v>300</v>
      </c>
      <c r="I103" s="170">
        <v>2.1369999999999996</v>
      </c>
      <c r="J103" s="190">
        <v>79.018636363636361</v>
      </c>
      <c r="K103" s="201"/>
      <c r="L103" s="201"/>
      <c r="M103" s="201"/>
      <c r="N103" s="201"/>
      <c r="O103" s="201"/>
      <c r="P103" s="201"/>
      <c r="Q103" s="171">
        <f t="shared" si="272"/>
        <v>0</v>
      </c>
      <c r="R103" s="171">
        <f t="shared" si="273"/>
        <v>-7.0422535211267607E-3</v>
      </c>
      <c r="S103" s="171">
        <f t="shared" si="274"/>
        <v>0</v>
      </c>
      <c r="T103" s="171">
        <f t="shared" si="275"/>
        <v>-1.7561603530709929E-2</v>
      </c>
      <c r="U103" s="171">
        <f t="shared" si="276"/>
        <v>0</v>
      </c>
      <c r="V103" s="171">
        <f t="shared" si="254"/>
        <v>0</v>
      </c>
      <c r="W103" s="171">
        <f t="shared" si="277"/>
        <v>0</v>
      </c>
      <c r="X103" s="172">
        <f t="shared" si="255"/>
        <v>8.98876404494382E-2</v>
      </c>
      <c r="Y103" s="172">
        <f t="shared" si="256"/>
        <v>0.15573770491803279</v>
      </c>
      <c r="Z103" s="172">
        <f t="shared" si="257"/>
        <v>-2.4390243902439025E-2</v>
      </c>
      <c r="AA103" s="172">
        <f t="shared" si="258"/>
        <v>7.828711563855853E-3</v>
      </c>
      <c r="AB103" s="172">
        <f t="shared" si="259"/>
        <v>-5.9846964304525074E-2</v>
      </c>
      <c r="AC103" s="172">
        <f t="shared" si="232"/>
        <v>1.8382352941176471E-2</v>
      </c>
      <c r="AD103" s="172">
        <f t="shared" ref="AD103" si="316">(E103-E107)/E107</f>
        <v>-3.1007751937984496E-2</v>
      </c>
      <c r="AE103" s="172">
        <f t="shared" si="261"/>
        <v>-1.020408163265306E-2</v>
      </c>
      <c r="AF103" s="172">
        <f t="shared" si="262"/>
        <v>-0.11874999999999999</v>
      </c>
      <c r="AG103" s="172">
        <f t="shared" si="263"/>
        <v>-9.0909090909090912E-2</v>
      </c>
      <c r="AH103" s="172">
        <f t="shared" si="264"/>
        <v>-0.16182930655789157</v>
      </c>
      <c r="AI103" s="172">
        <f t="shared" si="265"/>
        <v>-7.2205589771839718E-2</v>
      </c>
      <c r="AJ103" s="172">
        <f t="shared" si="234"/>
        <v>-1.0714285714285714E-2</v>
      </c>
      <c r="AK103" s="172">
        <f t="shared" ref="AK103" si="317">(E103-E155)/E155</f>
        <v>0</v>
      </c>
    </row>
    <row r="104" spans="1:37" x14ac:dyDescent="0.3">
      <c r="A104" s="169">
        <v>45520</v>
      </c>
      <c r="B104" s="159">
        <f t="shared" si="270"/>
        <v>2024</v>
      </c>
      <c r="C104" s="159">
        <f t="shared" si="271"/>
        <v>8</v>
      </c>
      <c r="D104" s="190">
        <f>AVERAGEIFS(data!G:G,data!A:A,'weekly-forecast'!B104,data!B:B,'weekly-forecast'!C104)</f>
        <v>277</v>
      </c>
      <c r="E104" s="190">
        <f>AVERAGEIFS(data!F:F,data!A:A,'weekly-forecast'!B104,data!B:B,'weekly-forecast'!C104)</f>
        <v>250</v>
      </c>
      <c r="F104" s="190">
        <v>242.5</v>
      </c>
      <c r="G104" s="190">
        <v>355</v>
      </c>
      <c r="H104" s="190">
        <v>300</v>
      </c>
      <c r="I104" s="170">
        <v>2.1751999999999998</v>
      </c>
      <c r="J104" s="190">
        <v>79.018636363636361</v>
      </c>
      <c r="K104" s="201"/>
      <c r="L104" s="201"/>
      <c r="M104" s="201"/>
      <c r="N104" s="201"/>
      <c r="O104" s="201"/>
      <c r="P104" s="201"/>
      <c r="Q104" s="171">
        <f t="shared" si="272"/>
        <v>4.3010752688172046E-2</v>
      </c>
      <c r="R104" s="171">
        <f t="shared" si="273"/>
        <v>0</v>
      </c>
      <c r="S104" s="171">
        <f t="shared" si="274"/>
        <v>-1.6393442622950821E-2</v>
      </c>
      <c r="T104" s="171">
        <f t="shared" si="275"/>
        <v>5.2448229146506709E-2</v>
      </c>
      <c r="U104" s="171">
        <f t="shared" si="276"/>
        <v>0</v>
      </c>
      <c r="V104" s="171">
        <f t="shared" si="254"/>
        <v>0</v>
      </c>
      <c r="W104" s="171">
        <f t="shared" si="277"/>
        <v>0</v>
      </c>
      <c r="X104" s="172">
        <f t="shared" si="255"/>
        <v>8.98876404494382E-2</v>
      </c>
      <c r="Y104" s="172">
        <f t="shared" si="256"/>
        <v>0.16393442622950818</v>
      </c>
      <c r="Z104" s="172">
        <f t="shared" si="257"/>
        <v>-2.4390243902439025E-2</v>
      </c>
      <c r="AA104" s="172">
        <f t="shared" si="258"/>
        <v>2.2757193906337948E-2</v>
      </c>
      <c r="AB104" s="172">
        <f t="shared" si="259"/>
        <v>-5.9846964304525074E-2</v>
      </c>
      <c r="AC104" s="172">
        <f t="shared" si="232"/>
        <v>1.8382352941176471E-2</v>
      </c>
      <c r="AD104" s="172">
        <f t="shared" ref="AD104" si="318">(E104-E108)/E108</f>
        <v>-3.1007751937984496E-2</v>
      </c>
      <c r="AE104" s="172">
        <f t="shared" si="261"/>
        <v>1.0416666666666666E-2</v>
      </c>
      <c r="AF104" s="172">
        <f t="shared" si="262"/>
        <v>0.109375</v>
      </c>
      <c r="AG104" s="172">
        <f t="shared" si="263"/>
        <v>-0.15492957746478872</v>
      </c>
      <c r="AH104" s="172">
        <f t="shared" si="264"/>
        <v>-0.17718262974731439</v>
      </c>
      <c r="AI104" s="172">
        <f t="shared" si="265"/>
        <v>-7.2205589771839718E-2</v>
      </c>
      <c r="AJ104" s="172">
        <f t="shared" si="234"/>
        <v>-1.0714285714285714E-2</v>
      </c>
      <c r="AK104" s="172">
        <f t="shared" ref="AK104" si="319">(E104-E156)/E156</f>
        <v>0</v>
      </c>
    </row>
    <row r="105" spans="1:37" x14ac:dyDescent="0.3">
      <c r="A105" s="169">
        <v>45513</v>
      </c>
      <c r="B105" s="159">
        <f t="shared" si="270"/>
        <v>2024</v>
      </c>
      <c r="C105" s="159">
        <f t="shared" si="271"/>
        <v>8</v>
      </c>
      <c r="D105" s="190">
        <f>AVERAGEIFS(data!G:G,data!A:A,'weekly-forecast'!B105,data!B:B,'weekly-forecast'!C105)</f>
        <v>277</v>
      </c>
      <c r="E105" s="190">
        <f>AVERAGEIFS(data!F:F,data!A:A,'weekly-forecast'!B105,data!B:B,'weekly-forecast'!C105)</f>
        <v>250</v>
      </c>
      <c r="F105" s="190">
        <v>232.5</v>
      </c>
      <c r="G105" s="190">
        <v>355</v>
      </c>
      <c r="H105" s="190">
        <v>305</v>
      </c>
      <c r="I105" s="170">
        <v>2.0667999999999997</v>
      </c>
      <c r="J105" s="190">
        <v>79.018636363636361</v>
      </c>
      <c r="K105" s="201"/>
      <c r="L105" s="201"/>
      <c r="M105" s="201"/>
      <c r="N105" s="201"/>
      <c r="O105" s="201"/>
      <c r="P105" s="201"/>
      <c r="Q105" s="171">
        <f t="shared" si="272"/>
        <v>1.0869565217391304E-2</v>
      </c>
      <c r="R105" s="171">
        <f t="shared" si="273"/>
        <v>0.16393442622950818</v>
      </c>
      <c r="S105" s="171">
        <f t="shared" si="274"/>
        <v>-8.130081300813009E-3</v>
      </c>
      <c r="T105" s="171">
        <f t="shared" si="275"/>
        <v>3.2986805277888762E-2</v>
      </c>
      <c r="U105" s="171">
        <f t="shared" si="276"/>
        <v>0</v>
      </c>
      <c r="V105" s="171">
        <f t="shared" si="254"/>
        <v>0</v>
      </c>
      <c r="W105" s="171">
        <f t="shared" si="277"/>
        <v>0</v>
      </c>
      <c r="X105" s="172">
        <f t="shared" si="255"/>
        <v>3.3333333333333333E-2</v>
      </c>
      <c r="Y105" s="172">
        <f t="shared" si="256"/>
        <v>0.16393442622950818</v>
      </c>
      <c r="Z105" s="172">
        <f t="shared" si="257"/>
        <v>-2.4E-2</v>
      </c>
      <c r="AA105" s="172">
        <f t="shared" si="258"/>
        <v>-0.11189412169130293</v>
      </c>
      <c r="AB105" s="172">
        <f t="shared" si="259"/>
        <v>-5.9846964304525074E-2</v>
      </c>
      <c r="AC105" s="172">
        <f t="shared" si="232"/>
        <v>1.8382352941176471E-2</v>
      </c>
      <c r="AD105" s="172">
        <f t="shared" ref="AD105" si="320">(E105-E109)/E109</f>
        <v>-3.1007751937984496E-2</v>
      </c>
      <c r="AE105" s="172">
        <f t="shared" si="261"/>
        <v>0.22368421052631579</v>
      </c>
      <c r="AF105" s="172">
        <f t="shared" si="262"/>
        <v>0.109375</v>
      </c>
      <c r="AG105" s="172">
        <f t="shared" si="263"/>
        <v>-0.12857142857142856</v>
      </c>
      <c r="AH105" s="172">
        <f t="shared" si="264"/>
        <v>-0.2615406602829784</v>
      </c>
      <c r="AI105" s="172">
        <f t="shared" si="265"/>
        <v>-7.2205589771839718E-2</v>
      </c>
      <c r="AJ105" s="172">
        <f t="shared" si="234"/>
        <v>-1.0714285714285714E-2</v>
      </c>
      <c r="AK105" s="172">
        <f t="shared" ref="AK105" si="321">(E105-E157)/E157</f>
        <v>0</v>
      </c>
    </row>
    <row r="106" spans="1:37" x14ac:dyDescent="0.3">
      <c r="A106" s="169">
        <v>45506</v>
      </c>
      <c r="B106" s="159">
        <f t="shared" si="270"/>
        <v>2024</v>
      </c>
      <c r="C106" s="159">
        <f t="shared" si="271"/>
        <v>8</v>
      </c>
      <c r="D106" s="190">
        <f>AVERAGEIFS(data!G:G,data!A:A,'weekly-forecast'!B106,data!B:B,'weekly-forecast'!C106)</f>
        <v>277</v>
      </c>
      <c r="E106" s="190">
        <f>AVERAGEIFS(data!F:F,data!A:A,'weekly-forecast'!B106,data!B:B,'weekly-forecast'!C106)</f>
        <v>250</v>
      </c>
      <c r="F106" s="190">
        <v>230</v>
      </c>
      <c r="G106" s="190">
        <v>305</v>
      </c>
      <c r="H106" s="190">
        <v>307.5</v>
      </c>
      <c r="I106" s="170">
        <v>2.0007999999999999</v>
      </c>
      <c r="J106" s="190">
        <v>79.018636363636361</v>
      </c>
      <c r="K106" s="202"/>
      <c r="L106" s="202"/>
      <c r="M106" s="202"/>
      <c r="N106" s="202"/>
      <c r="O106" s="202"/>
      <c r="P106" s="202"/>
      <c r="Q106" s="171">
        <f t="shared" si="272"/>
        <v>3.3707865168539325E-2</v>
      </c>
      <c r="R106" s="171">
        <f t="shared" si="273"/>
        <v>0</v>
      </c>
      <c r="S106" s="171">
        <f t="shared" si="274"/>
        <v>0</v>
      </c>
      <c r="T106" s="171">
        <f t="shared" si="275"/>
        <v>-5.6404451990190403E-2</v>
      </c>
      <c r="U106" s="171">
        <f t="shared" si="276"/>
        <v>-5.9846964304525074E-2</v>
      </c>
      <c r="V106" s="171">
        <f t="shared" si="254"/>
        <v>1.8382352941176471E-2</v>
      </c>
      <c r="W106" s="171">
        <f t="shared" si="277"/>
        <v>-3.1007751937984496E-2</v>
      </c>
      <c r="X106" s="172">
        <f t="shared" si="255"/>
        <v>4.5454545454545456E-2</v>
      </c>
      <c r="Y106" s="172">
        <f t="shared" si="256"/>
        <v>0</v>
      </c>
      <c r="Z106" s="172">
        <f t="shared" si="257"/>
        <v>0</v>
      </c>
      <c r="AA106" s="172">
        <f t="shared" si="258"/>
        <v>-0.1706528497409327</v>
      </c>
      <c r="AB106" s="172">
        <f t="shared" si="259"/>
        <v>-5.9846964304525074E-2</v>
      </c>
      <c r="AC106" s="172">
        <f t="shared" si="232"/>
        <v>1.8382352941176471E-2</v>
      </c>
      <c r="AD106" s="172">
        <f t="shared" ref="AD106" si="322">(E106-E110)/E110</f>
        <v>-3.1007751937984496E-2</v>
      </c>
      <c r="AE106" s="172">
        <f t="shared" si="261"/>
        <v>0.21052631578947367</v>
      </c>
      <c r="AF106" s="172">
        <f t="shared" si="262"/>
        <v>3.3898305084745763E-2</v>
      </c>
      <c r="AG106" s="172">
        <f t="shared" si="263"/>
        <v>-0.22151898734177214</v>
      </c>
      <c r="AH106" s="172">
        <f t="shared" si="264"/>
        <v>-0.21923046905486626</v>
      </c>
      <c r="AI106" s="172">
        <f t="shared" si="265"/>
        <v>-7.2205589771839718E-2</v>
      </c>
      <c r="AJ106" s="172">
        <f t="shared" si="234"/>
        <v>-1.0714285714285714E-2</v>
      </c>
      <c r="AK106" s="172">
        <f t="shared" ref="AK106" si="323">(E106-E158)/E158</f>
        <v>0</v>
      </c>
    </row>
    <row r="107" spans="1:37" x14ac:dyDescent="0.3">
      <c r="A107" s="169">
        <v>45499</v>
      </c>
      <c r="B107" s="159">
        <f t="shared" si="270"/>
        <v>2024</v>
      </c>
      <c r="C107" s="159">
        <f t="shared" si="271"/>
        <v>7</v>
      </c>
      <c r="D107" s="190">
        <f>AVERAGEIFS(data!G:G,data!A:A,'weekly-forecast'!B107,data!B:B,'weekly-forecast'!C107)</f>
        <v>272</v>
      </c>
      <c r="E107" s="190">
        <f>AVERAGEIFS(data!F:F,data!A:A,'weekly-forecast'!B107,data!B:B,'weekly-forecast'!C107)</f>
        <v>258</v>
      </c>
      <c r="F107" s="190">
        <v>222.5</v>
      </c>
      <c r="G107" s="190">
        <v>305</v>
      </c>
      <c r="H107" s="190">
        <v>307.5</v>
      </c>
      <c r="I107" s="170">
        <v>2.1203999999999996</v>
      </c>
      <c r="J107" s="190">
        <v>84.048695652173905</v>
      </c>
      <c r="K107" s="200">
        <f>AVERAGE(D107:D110)</f>
        <v>272</v>
      </c>
      <c r="L107" s="200">
        <f t="shared" ref="L107:P107" si="324">AVERAGE(E107:E110)</f>
        <v>258</v>
      </c>
      <c r="M107" s="200">
        <f t="shared" si="324"/>
        <v>222.5</v>
      </c>
      <c r="N107" s="200">
        <f t="shared" si="324"/>
        <v>305</v>
      </c>
      <c r="O107" s="200">
        <f t="shared" si="324"/>
        <v>308.75</v>
      </c>
      <c r="P107" s="200">
        <f t="shared" si="324"/>
        <v>2.2467249999999996</v>
      </c>
      <c r="Q107" s="171">
        <f t="shared" si="272"/>
        <v>0</v>
      </c>
      <c r="R107" s="171">
        <f t="shared" si="273"/>
        <v>0</v>
      </c>
      <c r="S107" s="171">
        <f t="shared" si="274"/>
        <v>0</v>
      </c>
      <c r="T107" s="171">
        <f t="shared" si="275"/>
        <v>-3.0092157231524481E-3</v>
      </c>
      <c r="U107" s="171">
        <f t="shared" si="276"/>
        <v>0</v>
      </c>
      <c r="V107" s="171">
        <f t="shared" si="254"/>
        <v>0</v>
      </c>
      <c r="W107" s="171">
        <f t="shared" si="277"/>
        <v>0</v>
      </c>
      <c r="X107" s="172">
        <f t="shared" si="255"/>
        <v>2.2988505747126436E-2</v>
      </c>
      <c r="Y107" s="172">
        <f t="shared" si="256"/>
        <v>0</v>
      </c>
      <c r="Z107" s="172">
        <f t="shared" si="257"/>
        <v>0</v>
      </c>
      <c r="AA107" s="172">
        <f t="shared" si="258"/>
        <v>-0.21355982493880293</v>
      </c>
      <c r="AB107" s="172">
        <f t="shared" si="259"/>
        <v>1.3642423519448856E-2</v>
      </c>
      <c r="AC107" s="172">
        <f t="shared" ref="AC107:AC138" si="325">(D107-D111)/D111</f>
        <v>7.4074074074074077E-3</v>
      </c>
      <c r="AD107" s="172">
        <f t="shared" ref="AD107" si="326">(E107-E111)/E111</f>
        <v>0.12173913043478261</v>
      </c>
      <c r="AE107" s="172">
        <f t="shared" si="261"/>
        <v>0.17105263157894737</v>
      </c>
      <c r="AF107" s="172">
        <f t="shared" si="262"/>
        <v>3.3898305084745763E-2</v>
      </c>
      <c r="AG107" s="172">
        <f t="shared" si="263"/>
        <v>-0.13135593220338984</v>
      </c>
      <c r="AH107" s="172">
        <f t="shared" si="264"/>
        <v>-0.19742619227857708</v>
      </c>
      <c r="AI107" s="172">
        <f t="shared" si="265"/>
        <v>4.9178565345839351E-2</v>
      </c>
      <c r="AJ107" s="172">
        <f t="shared" ref="AJ107:AJ138" si="327">(D107-D159)/D159</f>
        <v>-0.17575757575757575</v>
      </c>
      <c r="AK107" s="172">
        <f t="shared" ref="AK107" si="328">(E107-E159)/E159</f>
        <v>-0.14000000000000001</v>
      </c>
    </row>
    <row r="108" spans="1:37" x14ac:dyDescent="0.3">
      <c r="A108" s="169">
        <v>45492</v>
      </c>
      <c r="B108" s="159">
        <f t="shared" si="270"/>
        <v>2024</v>
      </c>
      <c r="C108" s="159">
        <f t="shared" si="271"/>
        <v>7</v>
      </c>
      <c r="D108" s="190">
        <f>AVERAGEIFS(data!G:G,data!A:A,'weekly-forecast'!B108,data!B:B,'weekly-forecast'!C108)</f>
        <v>272</v>
      </c>
      <c r="E108" s="190">
        <f>AVERAGEIFS(data!F:F,data!A:A,'weekly-forecast'!B108,data!B:B,'weekly-forecast'!C108)</f>
        <v>258</v>
      </c>
      <c r="F108" s="190">
        <v>222.5</v>
      </c>
      <c r="G108" s="190">
        <v>305</v>
      </c>
      <c r="H108" s="190">
        <v>307.5</v>
      </c>
      <c r="I108" s="170">
        <v>2.1268000000000002</v>
      </c>
      <c r="J108" s="190">
        <v>84.048695652173905</v>
      </c>
      <c r="K108" s="201"/>
      <c r="L108" s="201"/>
      <c r="M108" s="201"/>
      <c r="N108" s="201"/>
      <c r="O108" s="201"/>
      <c r="P108" s="201"/>
      <c r="Q108" s="171">
        <f t="shared" si="272"/>
        <v>-1.1111111111111112E-2</v>
      </c>
      <c r="R108" s="171">
        <f t="shared" si="273"/>
        <v>0</v>
      </c>
      <c r="S108" s="171">
        <f t="shared" si="274"/>
        <v>-1.6E-2</v>
      </c>
      <c r="T108" s="171">
        <f t="shared" si="275"/>
        <v>-8.6112066002062435E-2</v>
      </c>
      <c r="U108" s="171">
        <f t="shared" si="276"/>
        <v>0</v>
      </c>
      <c r="V108" s="171">
        <f t="shared" si="254"/>
        <v>0</v>
      </c>
      <c r="W108" s="171">
        <f t="shared" si="277"/>
        <v>0</v>
      </c>
      <c r="X108" s="172">
        <f t="shared" si="255"/>
        <v>3.4883720930232558E-2</v>
      </c>
      <c r="Y108" s="172">
        <f t="shared" si="256"/>
        <v>0</v>
      </c>
      <c r="Z108" s="172">
        <f t="shared" si="257"/>
        <v>1.6528925619834711E-2</v>
      </c>
      <c r="AA108" s="172">
        <f t="shared" si="258"/>
        <v>-0.2365431212420353</v>
      </c>
      <c r="AB108" s="172">
        <f t="shared" si="259"/>
        <v>1.3642423519448856E-2</v>
      </c>
      <c r="AC108" s="172">
        <f t="shared" si="325"/>
        <v>7.4074074074074077E-3</v>
      </c>
      <c r="AD108" s="172">
        <f t="shared" ref="AD108" si="329">(E108-E112)/E112</f>
        <v>0.12173913043478261</v>
      </c>
      <c r="AE108" s="172">
        <f t="shared" si="261"/>
        <v>0.45901639344262296</v>
      </c>
      <c r="AF108" s="172">
        <f t="shared" si="262"/>
        <v>-6.1538461538461542E-2</v>
      </c>
      <c r="AG108" s="172">
        <f t="shared" si="263"/>
        <v>-1.6E-2</v>
      </c>
      <c r="AH108" s="172">
        <f t="shared" si="264"/>
        <v>-0.19524746481004993</v>
      </c>
      <c r="AI108" s="172">
        <f t="shared" si="265"/>
        <v>4.9178565345839351E-2</v>
      </c>
      <c r="AJ108" s="172">
        <f t="shared" si="327"/>
        <v>-0.17575757575757575</v>
      </c>
      <c r="AK108" s="172">
        <f t="shared" ref="AK108" si="330">(E108-E160)/E160</f>
        <v>-0.14000000000000001</v>
      </c>
    </row>
    <row r="109" spans="1:37" x14ac:dyDescent="0.3">
      <c r="A109" s="169">
        <v>45485</v>
      </c>
      <c r="B109" s="159">
        <f t="shared" si="270"/>
        <v>2024</v>
      </c>
      <c r="C109" s="159">
        <f t="shared" si="271"/>
        <v>7</v>
      </c>
      <c r="D109" s="190">
        <f>AVERAGEIFS(data!G:G,data!A:A,'weekly-forecast'!B109,data!B:B,'weekly-forecast'!C109)</f>
        <v>272</v>
      </c>
      <c r="E109" s="190">
        <f>AVERAGEIFS(data!F:F,data!A:A,'weekly-forecast'!B109,data!B:B,'weekly-forecast'!C109)</f>
        <v>258</v>
      </c>
      <c r="F109" s="190">
        <v>225</v>
      </c>
      <c r="G109" s="190">
        <v>305</v>
      </c>
      <c r="H109" s="190">
        <v>312.5</v>
      </c>
      <c r="I109" s="170">
        <v>2.3271999999999999</v>
      </c>
      <c r="J109" s="190">
        <v>84.048695652173905</v>
      </c>
      <c r="K109" s="201"/>
      <c r="L109" s="201"/>
      <c r="M109" s="201"/>
      <c r="N109" s="201"/>
      <c r="O109" s="201"/>
      <c r="P109" s="201"/>
      <c r="Q109" s="171">
        <f t="shared" si="272"/>
        <v>2.2727272727272728E-2</v>
      </c>
      <c r="R109" s="171">
        <f t="shared" si="273"/>
        <v>0</v>
      </c>
      <c r="S109" s="171">
        <f t="shared" si="274"/>
        <v>1.6260162601626018E-2</v>
      </c>
      <c r="T109" s="171">
        <f t="shared" si="275"/>
        <v>-3.5357512953367941E-2</v>
      </c>
      <c r="U109" s="171">
        <f t="shared" si="276"/>
        <v>0</v>
      </c>
      <c r="V109" s="171">
        <f t="shared" si="254"/>
        <v>0</v>
      </c>
      <c r="W109" s="171">
        <f t="shared" si="277"/>
        <v>0</v>
      </c>
      <c r="X109" s="172">
        <f t="shared" si="255"/>
        <v>0.16883116883116883</v>
      </c>
      <c r="Y109" s="172">
        <f t="shared" si="256"/>
        <v>9.90990990990991E-2</v>
      </c>
      <c r="Z109" s="172">
        <f t="shared" si="257"/>
        <v>3.3057851239669422E-2</v>
      </c>
      <c r="AA109" s="172">
        <f t="shared" si="258"/>
        <v>-0.22010723860589815</v>
      </c>
      <c r="AB109" s="172">
        <f t="shared" si="259"/>
        <v>1.3642423519448856E-2</v>
      </c>
      <c r="AC109" s="172">
        <f t="shared" si="325"/>
        <v>7.4074074074074077E-3</v>
      </c>
      <c r="AD109" s="172">
        <f t="shared" ref="AD109" si="331">(E109-E113)/E113</f>
        <v>0.12173913043478261</v>
      </c>
      <c r="AE109" s="172">
        <f t="shared" si="261"/>
        <v>0.76470588235294112</v>
      </c>
      <c r="AF109" s="172">
        <f t="shared" si="262"/>
        <v>0.48780487804878048</v>
      </c>
      <c r="AG109" s="172">
        <f t="shared" si="263"/>
        <v>8.0645161290322578E-3</v>
      </c>
      <c r="AH109" s="172">
        <f t="shared" si="264"/>
        <v>-0.11283928026837445</v>
      </c>
      <c r="AI109" s="172">
        <f t="shared" si="265"/>
        <v>4.9178565345839351E-2</v>
      </c>
      <c r="AJ109" s="172">
        <f t="shared" si="327"/>
        <v>-0.17575757575757575</v>
      </c>
      <c r="AK109" s="172">
        <f t="shared" ref="AK109" si="332">(E109-E161)/E161</f>
        <v>-0.14000000000000001</v>
      </c>
    </row>
    <row r="110" spans="1:37" x14ac:dyDescent="0.3">
      <c r="A110" s="169">
        <v>45478</v>
      </c>
      <c r="B110" s="159">
        <f t="shared" si="270"/>
        <v>2024</v>
      </c>
      <c r="C110" s="159">
        <f t="shared" si="271"/>
        <v>7</v>
      </c>
      <c r="D110" s="190">
        <f>AVERAGEIFS(data!G:G,data!A:A,'weekly-forecast'!B110,data!B:B,'weekly-forecast'!C110)</f>
        <v>272</v>
      </c>
      <c r="E110" s="190">
        <f>AVERAGEIFS(data!F:F,data!A:A,'weekly-forecast'!B110,data!B:B,'weekly-forecast'!C110)</f>
        <v>258</v>
      </c>
      <c r="F110" s="190">
        <v>220</v>
      </c>
      <c r="G110" s="190">
        <v>305</v>
      </c>
      <c r="H110" s="190">
        <v>307.5</v>
      </c>
      <c r="I110" s="170">
        <v>2.4125000000000001</v>
      </c>
      <c r="J110" s="190">
        <v>84.048695652173905</v>
      </c>
      <c r="K110" s="202"/>
      <c r="L110" s="202"/>
      <c r="M110" s="202"/>
      <c r="N110" s="202"/>
      <c r="O110" s="202"/>
      <c r="P110" s="202"/>
      <c r="Q110" s="171">
        <f t="shared" si="272"/>
        <v>1.1494252873563218E-2</v>
      </c>
      <c r="R110" s="171">
        <f t="shared" si="273"/>
        <v>0</v>
      </c>
      <c r="S110" s="171">
        <f t="shared" si="274"/>
        <v>0</v>
      </c>
      <c r="T110" s="171">
        <f t="shared" si="275"/>
        <v>-0.10522216452785403</v>
      </c>
      <c r="U110" s="171">
        <f t="shared" si="276"/>
        <v>1.3642423519448856E-2</v>
      </c>
      <c r="V110" s="171">
        <f t="shared" si="254"/>
        <v>7.4074074074074077E-3</v>
      </c>
      <c r="W110" s="171">
        <f t="shared" si="277"/>
        <v>0.12173913043478261</v>
      </c>
      <c r="X110" s="172">
        <f t="shared" si="255"/>
        <v>0.17333333333333334</v>
      </c>
      <c r="Y110" s="172">
        <f t="shared" si="256"/>
        <v>9.90990990990991E-2</v>
      </c>
      <c r="Z110" s="172">
        <f t="shared" si="257"/>
        <v>0.14953271028037382</v>
      </c>
      <c r="AA110" s="172">
        <f t="shared" si="258"/>
        <v>-0.12830611360023131</v>
      </c>
      <c r="AB110" s="172">
        <f t="shared" si="259"/>
        <v>1.3642423519448856E-2</v>
      </c>
      <c r="AC110" s="172">
        <f t="shared" si="325"/>
        <v>7.4074074074074077E-3</v>
      </c>
      <c r="AD110" s="172">
        <f t="shared" ref="AD110" si="333">(E110-E114)/E114</f>
        <v>0.12173913043478261</v>
      </c>
      <c r="AE110" s="172">
        <f t="shared" si="261"/>
        <v>0.72549019607843135</v>
      </c>
      <c r="AF110" s="172">
        <f t="shared" si="262"/>
        <v>0.48780487804878048</v>
      </c>
      <c r="AG110" s="172">
        <f t="shared" si="263"/>
        <v>0.24746450304259635</v>
      </c>
      <c r="AH110" s="172">
        <f t="shared" si="264"/>
        <v>-8.591455906033911E-2</v>
      </c>
      <c r="AI110" s="172">
        <f t="shared" si="265"/>
        <v>4.9178565345839351E-2</v>
      </c>
      <c r="AJ110" s="172">
        <f t="shared" si="327"/>
        <v>-0.17575757575757575</v>
      </c>
      <c r="AK110" s="172">
        <f t="shared" ref="AK110" si="334">(E110-E162)/E162</f>
        <v>-0.14000000000000001</v>
      </c>
    </row>
    <row r="111" spans="1:37" x14ac:dyDescent="0.3">
      <c r="A111" s="169">
        <v>45471</v>
      </c>
      <c r="B111" s="159">
        <f t="shared" si="270"/>
        <v>2024</v>
      </c>
      <c r="C111" s="159">
        <f t="shared" si="271"/>
        <v>6</v>
      </c>
      <c r="D111" s="190">
        <f>AVERAGEIFS(data!G:G,data!A:A,'weekly-forecast'!B111,data!B:B,'weekly-forecast'!C111)</f>
        <v>270</v>
      </c>
      <c r="E111" s="190">
        <f>AVERAGEIFS(data!F:F,data!A:A,'weekly-forecast'!B111,data!B:B,'weekly-forecast'!C111)</f>
        <v>230</v>
      </c>
      <c r="F111" s="190">
        <v>217.5</v>
      </c>
      <c r="G111" s="190">
        <v>305</v>
      </c>
      <c r="H111" s="190">
        <v>307.5</v>
      </c>
      <c r="I111" s="170">
        <v>2.6962000000000002</v>
      </c>
      <c r="J111" s="190">
        <v>82.917500000000004</v>
      </c>
      <c r="K111" s="200">
        <f>AVERAGE(D111:D114)</f>
        <v>270</v>
      </c>
      <c r="L111" s="200">
        <f t="shared" ref="L111:P111" si="335">AVERAGE(E111:E114)</f>
        <v>230</v>
      </c>
      <c r="M111" s="200">
        <f t="shared" si="335"/>
        <v>203.125</v>
      </c>
      <c r="N111" s="200">
        <f t="shared" si="335"/>
        <v>291.25</v>
      </c>
      <c r="O111" s="200">
        <f t="shared" si="335"/>
        <v>295</v>
      </c>
      <c r="P111" s="200">
        <f t="shared" si="335"/>
        <v>2.8083874999999998</v>
      </c>
      <c r="Q111" s="171">
        <f t="shared" si="272"/>
        <v>1.1627906976744186E-2</v>
      </c>
      <c r="R111" s="171">
        <f t="shared" si="273"/>
        <v>0</v>
      </c>
      <c r="S111" s="171">
        <f t="shared" si="274"/>
        <v>1.6528925619834711E-2</v>
      </c>
      <c r="T111" s="171">
        <f t="shared" si="275"/>
        <v>-3.2145741721259988E-2</v>
      </c>
      <c r="U111" s="171">
        <f t="shared" si="276"/>
        <v>0</v>
      </c>
      <c r="V111" s="171">
        <f t="shared" si="254"/>
        <v>0</v>
      </c>
      <c r="W111" s="171">
        <f t="shared" si="277"/>
        <v>0</v>
      </c>
      <c r="X111" s="172">
        <f t="shared" si="255"/>
        <v>0.20833333333333334</v>
      </c>
      <c r="Y111" s="172">
        <f t="shared" si="256"/>
        <v>9.90990990990991E-2</v>
      </c>
      <c r="Z111" s="172">
        <f t="shared" si="257"/>
        <v>0.18269230769230768</v>
      </c>
      <c r="AA111" s="172">
        <f t="shared" si="258"/>
        <v>5.2997461433313776E-2</v>
      </c>
      <c r="AB111" s="172">
        <f t="shared" si="259"/>
        <v>-1.642463774185392E-3</v>
      </c>
      <c r="AC111" s="172">
        <f t="shared" si="325"/>
        <v>-0.1</v>
      </c>
      <c r="AD111" s="172">
        <f t="shared" ref="AD111" si="336">(E111-E115)/E115</f>
        <v>-0.11538461538461539</v>
      </c>
      <c r="AE111" s="172">
        <f t="shared" si="261"/>
        <v>0.67307692307692313</v>
      </c>
      <c r="AF111" s="172">
        <f t="shared" si="262"/>
        <v>0.48780487804878048</v>
      </c>
      <c r="AG111" s="172">
        <f t="shared" si="263"/>
        <v>0.24746450304259635</v>
      </c>
      <c r="AH111" s="172">
        <f t="shared" si="264"/>
        <v>-1.2814879906268358E-2</v>
      </c>
      <c r="AI111" s="172">
        <f t="shared" si="265"/>
        <v>0.10593531177059033</v>
      </c>
      <c r="AJ111" s="172">
        <f t="shared" si="327"/>
        <v>-0.18181818181818182</v>
      </c>
      <c r="AK111" s="172">
        <f t="shared" ref="AK111" si="337">(E111-E163)/E163</f>
        <v>-0.23333333333333334</v>
      </c>
    </row>
    <row r="112" spans="1:37" x14ac:dyDescent="0.3">
      <c r="A112" s="169">
        <v>45464</v>
      </c>
      <c r="B112" s="159">
        <f t="shared" si="270"/>
        <v>2024</v>
      </c>
      <c r="C112" s="159">
        <f t="shared" si="271"/>
        <v>6</v>
      </c>
      <c r="D112" s="190">
        <f>AVERAGEIFS(data!G:G,data!A:A,'weekly-forecast'!B112,data!B:B,'weekly-forecast'!C112)</f>
        <v>270</v>
      </c>
      <c r="E112" s="190">
        <f>AVERAGEIFS(data!F:F,data!A:A,'weekly-forecast'!B112,data!B:B,'weekly-forecast'!C112)</f>
        <v>230</v>
      </c>
      <c r="F112" s="190">
        <v>215</v>
      </c>
      <c r="G112" s="190">
        <v>305</v>
      </c>
      <c r="H112" s="190">
        <v>302.5</v>
      </c>
      <c r="I112" s="170">
        <v>2.7857500000000002</v>
      </c>
      <c r="J112" s="190">
        <v>82.917500000000004</v>
      </c>
      <c r="K112" s="201"/>
      <c r="L112" s="201"/>
      <c r="M112" s="201"/>
      <c r="N112" s="201"/>
      <c r="O112" s="201"/>
      <c r="P112" s="201"/>
      <c r="Q112" s="171">
        <f t="shared" si="272"/>
        <v>0.11688311688311688</v>
      </c>
      <c r="R112" s="171">
        <f t="shared" si="273"/>
        <v>9.90990990990991E-2</v>
      </c>
      <c r="S112" s="171">
        <f t="shared" si="274"/>
        <v>0</v>
      </c>
      <c r="T112" s="171">
        <f t="shared" si="275"/>
        <v>-6.6437667560321656E-2</v>
      </c>
      <c r="U112" s="171">
        <f t="shared" si="276"/>
        <v>0</v>
      </c>
      <c r="V112" s="171">
        <f t="shared" si="254"/>
        <v>0</v>
      </c>
      <c r="W112" s="171">
        <f t="shared" si="277"/>
        <v>0</v>
      </c>
      <c r="X112" s="172">
        <f t="shared" si="255"/>
        <v>0.19444444444444445</v>
      </c>
      <c r="Y112" s="172">
        <f t="shared" si="256"/>
        <v>9.90990990990991E-2</v>
      </c>
      <c r="Z112" s="172">
        <f t="shared" si="257"/>
        <v>0.24742268041237114</v>
      </c>
      <c r="AA112" s="172">
        <f t="shared" si="258"/>
        <v>3.6288222602485112E-2</v>
      </c>
      <c r="AB112" s="172">
        <f t="shared" si="259"/>
        <v>-1.642463774185392E-3</v>
      </c>
      <c r="AC112" s="172">
        <f t="shared" si="325"/>
        <v>-0.1</v>
      </c>
      <c r="AD112" s="172">
        <f t="shared" ref="AD112" si="338">(E112-E116)/E116</f>
        <v>-0.11538461538461539</v>
      </c>
      <c r="AE112" s="172">
        <f t="shared" si="261"/>
        <v>0.68627450980392157</v>
      </c>
      <c r="AF112" s="172">
        <f t="shared" si="262"/>
        <v>0.48780487804878048</v>
      </c>
      <c r="AG112" s="172">
        <f t="shared" si="263"/>
        <v>0.22718052738336714</v>
      </c>
      <c r="AH112" s="172">
        <f t="shared" si="264"/>
        <v>6.8770381737963016E-2</v>
      </c>
      <c r="AI112" s="172">
        <f t="shared" si="265"/>
        <v>0.10593531177059033</v>
      </c>
      <c r="AJ112" s="172">
        <f t="shared" si="327"/>
        <v>-0.18181818181818182</v>
      </c>
      <c r="AK112" s="172">
        <f t="shared" ref="AK112" si="339">(E112-E164)/E164</f>
        <v>-0.23333333333333334</v>
      </c>
    </row>
    <row r="113" spans="1:37" x14ac:dyDescent="0.3">
      <c r="A113" s="169">
        <v>45457</v>
      </c>
      <c r="B113" s="159">
        <f t="shared" si="270"/>
        <v>2024</v>
      </c>
      <c r="C113" s="159">
        <f t="shared" si="271"/>
        <v>6</v>
      </c>
      <c r="D113" s="190">
        <f>AVERAGEIFS(data!G:G,data!A:A,'weekly-forecast'!B113,data!B:B,'weekly-forecast'!C113)</f>
        <v>270</v>
      </c>
      <c r="E113" s="190">
        <f>AVERAGEIFS(data!F:F,data!A:A,'weekly-forecast'!B113,data!B:B,'weekly-forecast'!C113)</f>
        <v>230</v>
      </c>
      <c r="F113" s="190">
        <v>192.5</v>
      </c>
      <c r="G113" s="190">
        <v>277.5</v>
      </c>
      <c r="H113" s="190">
        <v>302.5</v>
      </c>
      <c r="I113" s="170">
        <v>2.984</v>
      </c>
      <c r="J113" s="190">
        <v>82.917500000000004</v>
      </c>
      <c r="K113" s="201"/>
      <c r="L113" s="201"/>
      <c r="M113" s="201"/>
      <c r="N113" s="201"/>
      <c r="O113" s="201"/>
      <c r="P113" s="201"/>
      <c r="Q113" s="171">
        <f t="shared" si="272"/>
        <v>2.6666666666666668E-2</v>
      </c>
      <c r="R113" s="171">
        <f t="shared" si="273"/>
        <v>0</v>
      </c>
      <c r="S113" s="171">
        <f t="shared" si="274"/>
        <v>0.13084112149532709</v>
      </c>
      <c r="T113" s="171">
        <f t="shared" si="275"/>
        <v>7.8190489955195716E-2</v>
      </c>
      <c r="U113" s="171">
        <f t="shared" si="276"/>
        <v>0</v>
      </c>
      <c r="V113" s="171">
        <f t="shared" si="254"/>
        <v>0</v>
      </c>
      <c r="W113" s="171">
        <f t="shared" si="277"/>
        <v>0</v>
      </c>
      <c r="X113" s="172">
        <f t="shared" si="255"/>
        <v>2.6666666666666668E-2</v>
      </c>
      <c r="Y113" s="172">
        <f t="shared" si="256"/>
        <v>0</v>
      </c>
      <c r="Z113" s="172">
        <f t="shared" si="257"/>
        <v>0.24742268041237114</v>
      </c>
      <c r="AA113" s="172">
        <f t="shared" si="258"/>
        <v>0.21676724840972111</v>
      </c>
      <c r="AB113" s="172">
        <f t="shared" si="259"/>
        <v>-1.642463774185392E-3</v>
      </c>
      <c r="AC113" s="172">
        <f t="shared" si="325"/>
        <v>-0.1</v>
      </c>
      <c r="AD113" s="172">
        <f t="shared" ref="AD113" si="340">(E113-E117)/E117</f>
        <v>-0.11538461538461539</v>
      </c>
      <c r="AE113" s="172">
        <f t="shared" si="261"/>
        <v>0.50980392156862742</v>
      </c>
      <c r="AF113" s="172">
        <f t="shared" si="262"/>
        <v>0.35365853658536583</v>
      </c>
      <c r="AG113" s="172">
        <f t="shared" si="263"/>
        <v>0.19801980198019803</v>
      </c>
      <c r="AH113" s="172">
        <f t="shared" si="264"/>
        <v>0.23173450012383384</v>
      </c>
      <c r="AI113" s="172">
        <f t="shared" si="265"/>
        <v>0.10593531177059033</v>
      </c>
      <c r="AJ113" s="172">
        <f t="shared" si="327"/>
        <v>-0.18181818181818182</v>
      </c>
      <c r="AK113" s="172">
        <f t="shared" ref="AK113" si="341">(E113-E165)/E165</f>
        <v>-0.23333333333333334</v>
      </c>
    </row>
    <row r="114" spans="1:37" x14ac:dyDescent="0.3">
      <c r="A114" s="169">
        <v>45450</v>
      </c>
      <c r="B114" s="159">
        <f t="shared" si="270"/>
        <v>2024</v>
      </c>
      <c r="C114" s="159">
        <f t="shared" si="271"/>
        <v>6</v>
      </c>
      <c r="D114" s="190">
        <f>AVERAGEIFS(data!G:G,data!A:A,'weekly-forecast'!B114,data!B:B,'weekly-forecast'!C114)</f>
        <v>270</v>
      </c>
      <c r="E114" s="190">
        <f>AVERAGEIFS(data!F:F,data!A:A,'weekly-forecast'!B114,data!B:B,'weekly-forecast'!C114)</f>
        <v>230</v>
      </c>
      <c r="F114" s="190">
        <v>187.5</v>
      </c>
      <c r="G114" s="190">
        <v>277.5</v>
      </c>
      <c r="H114" s="190">
        <v>267.5</v>
      </c>
      <c r="I114" s="170">
        <v>2.7676000000000003</v>
      </c>
      <c r="J114" s="190">
        <v>82.917500000000004</v>
      </c>
      <c r="K114" s="202"/>
      <c r="L114" s="202"/>
      <c r="M114" s="202"/>
      <c r="N114" s="202"/>
      <c r="O114" s="202"/>
      <c r="P114" s="202"/>
      <c r="Q114" s="171">
        <f t="shared" si="272"/>
        <v>4.1666666666666664E-2</v>
      </c>
      <c r="R114" s="171">
        <f t="shared" si="273"/>
        <v>0</v>
      </c>
      <c r="S114" s="171">
        <f t="shared" si="274"/>
        <v>2.8846153846153848E-2</v>
      </c>
      <c r="T114" s="171">
        <f t="shared" si="275"/>
        <v>8.0882640109353657E-2</v>
      </c>
      <c r="U114" s="171">
        <f t="shared" si="276"/>
        <v>-1.642463774185392E-3</v>
      </c>
      <c r="V114" s="171">
        <f t="shared" si="254"/>
        <v>-0.1</v>
      </c>
      <c r="W114" s="171">
        <f t="shared" si="277"/>
        <v>-0.11538461538461539</v>
      </c>
      <c r="X114" s="172">
        <f t="shared" si="255"/>
        <v>2.7397260273972601E-2</v>
      </c>
      <c r="Y114" s="172">
        <f t="shared" si="256"/>
        <v>0</v>
      </c>
      <c r="Z114" s="172">
        <f t="shared" si="257"/>
        <v>4.9019607843137254E-2</v>
      </c>
      <c r="AA114" s="172">
        <f t="shared" si="258"/>
        <v>0.24196733082031979</v>
      </c>
      <c r="AB114" s="172">
        <f t="shared" si="259"/>
        <v>-1.642463774185392E-3</v>
      </c>
      <c r="AC114" s="172">
        <f t="shared" si="325"/>
        <v>-0.1</v>
      </c>
      <c r="AD114" s="172">
        <f t="shared" ref="AD114" si="342">(E114-E118)/E118</f>
        <v>-0.11538461538461539</v>
      </c>
      <c r="AE114" s="172">
        <f t="shared" si="261"/>
        <v>0.25</v>
      </c>
      <c r="AF114" s="172">
        <f t="shared" si="262"/>
        <v>0.35365853658536583</v>
      </c>
      <c r="AG114" s="172">
        <f t="shared" si="263"/>
        <v>4.9019607843137254E-2</v>
      </c>
      <c r="AH114" s="172">
        <f t="shared" si="264"/>
        <v>0.20940395035832898</v>
      </c>
      <c r="AI114" s="172">
        <f t="shared" si="265"/>
        <v>0.10593531177059033</v>
      </c>
      <c r="AJ114" s="172">
        <f t="shared" si="327"/>
        <v>-0.18181818181818182</v>
      </c>
      <c r="AK114" s="172">
        <f t="shared" ref="AK114" si="343">(E114-E166)/E166</f>
        <v>-0.23333333333333334</v>
      </c>
    </row>
    <row r="115" spans="1:37" x14ac:dyDescent="0.3">
      <c r="A115" s="169">
        <v>45443</v>
      </c>
      <c r="B115" s="159">
        <f t="shared" si="270"/>
        <v>2024</v>
      </c>
      <c r="C115" s="159">
        <f t="shared" si="271"/>
        <v>5</v>
      </c>
      <c r="D115" s="190">
        <f>AVERAGEIFS(data!G:G,data!A:A,'weekly-forecast'!B115,data!B:B,'weekly-forecast'!C115)</f>
        <v>300</v>
      </c>
      <c r="E115" s="190">
        <f>AVERAGEIFS(data!F:F,data!A:A,'weekly-forecast'!B115,data!B:B,'weekly-forecast'!C115)</f>
        <v>260</v>
      </c>
      <c r="F115" s="190">
        <v>180</v>
      </c>
      <c r="G115" s="190">
        <v>277.5</v>
      </c>
      <c r="H115" s="190">
        <v>260</v>
      </c>
      <c r="I115" s="170">
        <v>2.5605000000000002</v>
      </c>
      <c r="J115" s="190">
        <v>83.053913043478261</v>
      </c>
      <c r="K115" s="200">
        <f>AVERAGE(D115:D119)</f>
        <v>300</v>
      </c>
      <c r="L115" s="200">
        <f t="shared" ref="L115:P115" si="344">AVERAGE(E115:E119)</f>
        <v>260</v>
      </c>
      <c r="M115" s="200">
        <f t="shared" si="344"/>
        <v>182.5</v>
      </c>
      <c r="N115" s="200">
        <f t="shared" si="344"/>
        <v>277.5</v>
      </c>
      <c r="O115" s="200">
        <f t="shared" si="344"/>
        <v>251</v>
      </c>
      <c r="P115" s="200">
        <f t="shared" si="344"/>
        <v>2.3910999999999998</v>
      </c>
      <c r="Q115" s="171">
        <f t="shared" si="272"/>
        <v>0</v>
      </c>
      <c r="R115" s="171">
        <f t="shared" si="273"/>
        <v>0</v>
      </c>
      <c r="S115" s="171">
        <f t="shared" si="274"/>
        <v>7.2164948453608241E-2</v>
      </c>
      <c r="T115" s="171">
        <f t="shared" si="275"/>
        <v>-4.7503905959377833E-2</v>
      </c>
      <c r="U115" s="171">
        <f t="shared" si="276"/>
        <v>0</v>
      </c>
      <c r="V115" s="171">
        <f t="shared" si="254"/>
        <v>0</v>
      </c>
      <c r="W115" s="171">
        <f t="shared" si="277"/>
        <v>0</v>
      </c>
      <c r="X115" s="172">
        <f t="shared" si="255"/>
        <v>-1.3698630136986301E-2</v>
      </c>
      <c r="Y115" s="172">
        <f t="shared" si="256"/>
        <v>0</v>
      </c>
      <c r="Z115" s="172">
        <f t="shared" si="257"/>
        <v>1.9607843137254902E-2</v>
      </c>
      <c r="AA115" s="172">
        <f t="shared" si="258"/>
        <v>0.26382033563672286</v>
      </c>
      <c r="AB115" s="172">
        <f t="shared" si="259"/>
        <v>0</v>
      </c>
      <c r="AC115" s="172">
        <f t="shared" si="325"/>
        <v>0</v>
      </c>
      <c r="AD115" s="172">
        <f t="shared" ref="AD115" si="345">(E115-E119)/E119</f>
        <v>0</v>
      </c>
      <c r="AE115" s="172">
        <f t="shared" si="261"/>
        <v>0.22033898305084745</v>
      </c>
      <c r="AF115" s="172">
        <f t="shared" si="262"/>
        <v>0.32142857142857145</v>
      </c>
      <c r="AG115" s="172">
        <f t="shared" si="263"/>
        <v>-3.7037037037037035E-2</v>
      </c>
      <c r="AH115" s="172">
        <f t="shared" si="264"/>
        <v>0.14782023982965381</v>
      </c>
      <c r="AI115" s="172">
        <f t="shared" si="265"/>
        <v>0.10775475883265444</v>
      </c>
      <c r="AJ115" s="172">
        <f t="shared" si="327"/>
        <v>-9.0909090909090912E-2</v>
      </c>
      <c r="AK115" s="172">
        <f t="shared" ref="AK115" si="346">(E115-E167)/E167</f>
        <v>-0.13333333333333333</v>
      </c>
    </row>
    <row r="116" spans="1:37" x14ac:dyDescent="0.3">
      <c r="A116" s="169">
        <v>45436</v>
      </c>
      <c r="B116" s="159">
        <f t="shared" si="270"/>
        <v>2024</v>
      </c>
      <c r="C116" s="159">
        <f t="shared" si="271"/>
        <v>5</v>
      </c>
      <c r="D116" s="190">
        <f>AVERAGEIFS(data!G:G,data!A:A,'weekly-forecast'!B116,data!B:B,'weekly-forecast'!C116)</f>
        <v>300</v>
      </c>
      <c r="E116" s="190">
        <f>AVERAGEIFS(data!F:F,data!A:A,'weekly-forecast'!B116,data!B:B,'weekly-forecast'!C116)</f>
        <v>260</v>
      </c>
      <c r="F116" s="190">
        <v>180</v>
      </c>
      <c r="G116" s="190">
        <v>277.5</v>
      </c>
      <c r="H116" s="190">
        <v>242.5</v>
      </c>
      <c r="I116" s="170">
        <v>2.6881999999999997</v>
      </c>
      <c r="J116" s="190">
        <v>83.053913043478261</v>
      </c>
      <c r="K116" s="201"/>
      <c r="L116" s="201"/>
      <c r="M116" s="201"/>
      <c r="N116" s="201"/>
      <c r="O116" s="201"/>
      <c r="P116" s="201"/>
      <c r="Q116" s="171">
        <f t="shared" si="272"/>
        <v>-0.04</v>
      </c>
      <c r="R116" s="171">
        <f t="shared" si="273"/>
        <v>0</v>
      </c>
      <c r="S116" s="171">
        <f t="shared" si="274"/>
        <v>0</v>
      </c>
      <c r="T116" s="171">
        <f t="shared" si="275"/>
        <v>9.6150709509052273E-2</v>
      </c>
      <c r="U116" s="171">
        <f t="shared" si="276"/>
        <v>0</v>
      </c>
      <c r="V116" s="171">
        <f t="shared" ref="V116:V147" si="347">(D116-D117)/D117</f>
        <v>0</v>
      </c>
      <c r="W116" s="171">
        <f t="shared" si="277"/>
        <v>0</v>
      </c>
      <c r="X116" s="172">
        <f t="shared" si="255"/>
        <v>-1.3698630136986301E-2</v>
      </c>
      <c r="Y116" s="172">
        <f t="shared" si="256"/>
        <v>0</v>
      </c>
      <c r="Z116" s="172">
        <f t="shared" si="257"/>
        <v>-3.9603960396039604E-2</v>
      </c>
      <c r="AA116" s="172">
        <f t="shared" si="258"/>
        <v>0.57980724024447583</v>
      </c>
      <c r="AB116" s="172">
        <f t="shared" si="259"/>
        <v>-6.6542991378268634E-2</v>
      </c>
      <c r="AC116" s="172">
        <f t="shared" si="325"/>
        <v>-9.0909090909090912E-2</v>
      </c>
      <c r="AD116" s="172">
        <f t="shared" ref="AD116" si="348">(E116-E120)/E120</f>
        <v>-0.13333333333333333</v>
      </c>
      <c r="AE116" s="172">
        <f t="shared" si="261"/>
        <v>2.8571428571428571E-2</v>
      </c>
      <c r="AF116" s="172">
        <f t="shared" si="262"/>
        <v>0.24719101123595505</v>
      </c>
      <c r="AG116" s="172">
        <f t="shared" si="263"/>
        <v>-0.13392857142857142</v>
      </c>
      <c r="AH116" s="172">
        <f t="shared" si="264"/>
        <v>0.15800809856121309</v>
      </c>
      <c r="AI116" s="172">
        <f t="shared" si="265"/>
        <v>9.6459054408531739E-2</v>
      </c>
      <c r="AJ116" s="172">
        <f t="shared" si="327"/>
        <v>-9.0909090909090912E-2</v>
      </c>
      <c r="AK116" s="172">
        <f t="shared" ref="AK116" si="349">(E116-E168)/E168</f>
        <v>-0.43478260869565216</v>
      </c>
    </row>
    <row r="117" spans="1:37" x14ac:dyDescent="0.3">
      <c r="A117" s="169">
        <v>45429</v>
      </c>
      <c r="B117" s="159">
        <f t="shared" si="270"/>
        <v>2024</v>
      </c>
      <c r="C117" s="159">
        <f t="shared" si="271"/>
        <v>5</v>
      </c>
      <c r="D117" s="190">
        <f>AVERAGEIFS(data!G:G,data!A:A,'weekly-forecast'!B117,data!B:B,'weekly-forecast'!C117)</f>
        <v>300</v>
      </c>
      <c r="E117" s="190">
        <f>AVERAGEIFS(data!F:F,data!A:A,'weekly-forecast'!B117,data!B:B,'weekly-forecast'!C117)</f>
        <v>260</v>
      </c>
      <c r="F117" s="190">
        <v>187.5</v>
      </c>
      <c r="G117" s="190">
        <v>277.5</v>
      </c>
      <c r="H117" s="190">
        <v>242.5</v>
      </c>
      <c r="I117" s="170">
        <v>2.4523999999999999</v>
      </c>
      <c r="J117" s="190">
        <v>83.053913043478261</v>
      </c>
      <c r="K117" s="201"/>
      <c r="L117" s="201"/>
      <c r="M117" s="201"/>
      <c r="N117" s="201"/>
      <c r="O117" s="201"/>
      <c r="P117" s="201"/>
      <c r="Q117" s="171">
        <f t="shared" si="272"/>
        <v>2.7397260273972601E-2</v>
      </c>
      <c r="R117" s="171">
        <f t="shared" si="273"/>
        <v>0</v>
      </c>
      <c r="S117" s="171">
        <f t="shared" si="274"/>
        <v>-4.9019607843137254E-2</v>
      </c>
      <c r="T117" s="171">
        <f t="shared" si="275"/>
        <v>0.10052055286304085</v>
      </c>
      <c r="U117" s="171">
        <f t="shared" si="276"/>
        <v>0</v>
      </c>
      <c r="V117" s="171">
        <f t="shared" si="347"/>
        <v>0</v>
      </c>
      <c r="W117" s="171">
        <f t="shared" si="277"/>
        <v>0</v>
      </c>
      <c r="X117" s="172">
        <f t="shared" si="255"/>
        <v>2.7397260273972601E-2</v>
      </c>
      <c r="Y117" s="172">
        <f t="shared" si="256"/>
        <v>-8.9285714285714281E-3</v>
      </c>
      <c r="Z117" s="172">
        <f t="shared" si="257"/>
        <v>-3.9603960396039604E-2</v>
      </c>
      <c r="AA117" s="172">
        <f t="shared" si="258"/>
        <v>0.41855622397038394</v>
      </c>
      <c r="AB117" s="172">
        <f t="shared" si="259"/>
        <v>-6.6542991378268634E-2</v>
      </c>
      <c r="AC117" s="172">
        <f t="shared" si="325"/>
        <v>-9.0909090909090912E-2</v>
      </c>
      <c r="AD117" s="172">
        <f t="shared" ref="AD117" si="350">(E117-E121)/E121</f>
        <v>-0.13333333333333333</v>
      </c>
      <c r="AE117" s="172">
        <f t="shared" si="261"/>
        <v>8.6956521739130432E-2</v>
      </c>
      <c r="AF117" s="172">
        <f t="shared" si="262"/>
        <v>0.12121212121212122</v>
      </c>
      <c r="AG117" s="172">
        <f t="shared" si="263"/>
        <v>-0.18487394957983194</v>
      </c>
      <c r="AH117" s="172">
        <f t="shared" si="264"/>
        <v>-2.5217603514194101E-3</v>
      </c>
      <c r="AI117" s="172">
        <f t="shared" si="265"/>
        <v>9.6459054408531739E-2</v>
      </c>
      <c r="AJ117" s="172">
        <f t="shared" si="327"/>
        <v>-9.0909090909090912E-2</v>
      </c>
      <c r="AK117" s="172">
        <f t="shared" ref="AK117" si="351">(E117-E169)/E169</f>
        <v>-0.43478260869565216</v>
      </c>
    </row>
    <row r="118" spans="1:37" x14ac:dyDescent="0.3">
      <c r="A118" s="169">
        <v>45422</v>
      </c>
      <c r="B118" s="159">
        <f t="shared" si="270"/>
        <v>2024</v>
      </c>
      <c r="C118" s="159">
        <f t="shared" si="271"/>
        <v>5</v>
      </c>
      <c r="D118" s="190">
        <f>AVERAGEIFS(data!G:G,data!A:A,'weekly-forecast'!B118,data!B:B,'weekly-forecast'!C118)</f>
        <v>300</v>
      </c>
      <c r="E118" s="190">
        <f>AVERAGEIFS(data!F:F,data!A:A,'weekly-forecast'!B118,data!B:B,'weekly-forecast'!C118)</f>
        <v>260</v>
      </c>
      <c r="F118" s="190">
        <v>182.5</v>
      </c>
      <c r="G118" s="190">
        <v>277.5</v>
      </c>
      <c r="H118" s="190">
        <v>255</v>
      </c>
      <c r="I118" s="170">
        <v>2.2283999999999997</v>
      </c>
      <c r="J118" s="190">
        <v>83.053913043478261</v>
      </c>
      <c r="K118" s="201"/>
      <c r="L118" s="201"/>
      <c r="M118" s="201"/>
      <c r="N118" s="201"/>
      <c r="O118" s="201"/>
      <c r="P118" s="201"/>
      <c r="Q118" s="171">
        <f t="shared" si="272"/>
        <v>0</v>
      </c>
      <c r="R118" s="171">
        <f t="shared" si="273"/>
        <v>0</v>
      </c>
      <c r="S118" s="171">
        <f t="shared" si="274"/>
        <v>0</v>
      </c>
      <c r="T118" s="171">
        <f t="shared" si="275"/>
        <v>9.9901283316880515E-2</v>
      </c>
      <c r="U118" s="171">
        <f t="shared" si="276"/>
        <v>0</v>
      </c>
      <c r="V118" s="171">
        <f t="shared" si="347"/>
        <v>0</v>
      </c>
      <c r="W118" s="171">
        <f t="shared" si="277"/>
        <v>0</v>
      </c>
      <c r="X118" s="172">
        <f t="shared" si="255"/>
        <v>-0.16091954022988506</v>
      </c>
      <c r="Y118" s="172">
        <f t="shared" si="256"/>
        <v>-8.9285714285714281E-3</v>
      </c>
      <c r="Z118" s="172">
        <f t="shared" si="257"/>
        <v>-9.7345132743362831E-2</v>
      </c>
      <c r="AA118" s="172">
        <f t="shared" si="258"/>
        <v>0.21970443349753682</v>
      </c>
      <c r="AB118" s="172">
        <f t="shared" si="259"/>
        <v>-6.6542991378268634E-2</v>
      </c>
      <c r="AC118" s="172">
        <f t="shared" si="325"/>
        <v>-9.0909090909090912E-2</v>
      </c>
      <c r="AD118" s="172">
        <f t="shared" ref="AD118" si="352">(E118-E122)/E122</f>
        <v>-0.13333333333333333</v>
      </c>
      <c r="AE118" s="172">
        <f t="shared" si="261"/>
        <v>5.7971014492753624E-2</v>
      </c>
      <c r="AF118" s="172">
        <f t="shared" si="262"/>
        <v>0.12121212121212122</v>
      </c>
      <c r="AG118" s="172">
        <f t="shared" si="263"/>
        <v>-0.15702479338842976</v>
      </c>
      <c r="AH118" s="172">
        <f t="shared" si="264"/>
        <v>-8.9670014347212335E-4</v>
      </c>
      <c r="AI118" s="172">
        <f t="shared" si="265"/>
        <v>9.6459054408531739E-2</v>
      </c>
      <c r="AJ118" s="172">
        <f t="shared" si="327"/>
        <v>-9.0909090909090912E-2</v>
      </c>
      <c r="AK118" s="172">
        <f t="shared" ref="AK118" si="353">(E118-E170)/E170</f>
        <v>-0.43478260869565216</v>
      </c>
    </row>
    <row r="119" spans="1:37" x14ac:dyDescent="0.3">
      <c r="A119" s="169">
        <v>45415</v>
      </c>
      <c r="B119" s="159">
        <f t="shared" si="270"/>
        <v>2024</v>
      </c>
      <c r="C119" s="159">
        <f t="shared" si="271"/>
        <v>5</v>
      </c>
      <c r="D119" s="190">
        <f>AVERAGEIFS(data!G:G,data!A:A,'weekly-forecast'!B119,data!B:B,'weekly-forecast'!C119)</f>
        <v>300</v>
      </c>
      <c r="E119" s="190">
        <f>AVERAGEIFS(data!F:F,data!A:A,'weekly-forecast'!B119,data!B:B,'weekly-forecast'!C119)</f>
        <v>260</v>
      </c>
      <c r="F119" s="190">
        <v>182.5</v>
      </c>
      <c r="G119" s="190">
        <v>277.5</v>
      </c>
      <c r="H119" s="190">
        <v>255</v>
      </c>
      <c r="I119" s="170">
        <v>2.0259999999999998</v>
      </c>
      <c r="J119" s="190">
        <v>83.053913043478261</v>
      </c>
      <c r="K119" s="202"/>
      <c r="L119" s="202"/>
      <c r="M119" s="202"/>
      <c r="N119" s="202"/>
      <c r="O119" s="202"/>
      <c r="P119" s="202"/>
      <c r="Q119" s="171">
        <f t="shared" si="272"/>
        <v>0</v>
      </c>
      <c r="R119" s="171">
        <f t="shared" si="273"/>
        <v>0</v>
      </c>
      <c r="S119" s="171">
        <f t="shared" si="274"/>
        <v>9.9009900990099011E-3</v>
      </c>
      <c r="T119" s="171">
        <f t="shared" si="275"/>
        <v>0.19064409967089802</v>
      </c>
      <c r="U119" s="171">
        <f t="shared" si="276"/>
        <v>-6.6542991378268634E-2</v>
      </c>
      <c r="V119" s="171">
        <f t="shared" si="347"/>
        <v>-9.0909090909090912E-2</v>
      </c>
      <c r="W119" s="171">
        <f t="shared" si="277"/>
        <v>-0.13333333333333333</v>
      </c>
      <c r="X119" s="172">
        <f t="shared" si="255"/>
        <v>-0.23958333333333334</v>
      </c>
      <c r="Y119" s="172">
        <f t="shared" si="256"/>
        <v>0.22246696035242292</v>
      </c>
      <c r="Z119" s="172">
        <f t="shared" si="257"/>
        <v>-9.7345132743362831E-2</v>
      </c>
      <c r="AA119" s="172">
        <f t="shared" si="258"/>
        <v>0.1133091548521814</v>
      </c>
      <c r="AB119" s="172">
        <f t="shared" si="259"/>
        <v>-6.6542991378268634E-2</v>
      </c>
      <c r="AC119" s="172">
        <f t="shared" si="325"/>
        <v>-9.0909090909090912E-2</v>
      </c>
      <c r="AD119" s="172">
        <f t="shared" ref="AD119" si="354">(E119-E123)/E123</f>
        <v>-0.13333333333333333</v>
      </c>
      <c r="AE119" s="172">
        <f t="shared" si="261"/>
        <v>0</v>
      </c>
      <c r="AF119" s="172">
        <f t="shared" si="262"/>
        <v>0.12121212121212122</v>
      </c>
      <c r="AG119" s="172">
        <f t="shared" si="263"/>
        <v>-0.15702479338842976</v>
      </c>
      <c r="AH119" s="172">
        <f t="shared" si="264"/>
        <v>-7.4040219378427766E-2</v>
      </c>
      <c r="AI119" s="172">
        <f t="shared" si="265"/>
        <v>9.6459054408531739E-2</v>
      </c>
      <c r="AJ119" s="172">
        <f t="shared" si="327"/>
        <v>-9.0909090909090912E-2</v>
      </c>
      <c r="AK119" s="172">
        <f t="shared" ref="AK119" si="355">(E119-E171)/E171</f>
        <v>-0.43478260869565216</v>
      </c>
    </row>
    <row r="120" spans="1:37" x14ac:dyDescent="0.3">
      <c r="A120" s="169">
        <v>45408</v>
      </c>
      <c r="B120" s="159">
        <f t="shared" si="270"/>
        <v>2024</v>
      </c>
      <c r="C120" s="159">
        <f t="shared" si="271"/>
        <v>4</v>
      </c>
      <c r="D120" s="190">
        <f>AVERAGEIFS(data!G:G,data!A:A,'weekly-forecast'!B120,data!B:B,'weekly-forecast'!C120)</f>
        <v>330</v>
      </c>
      <c r="E120" s="190">
        <f>AVERAGEIFS(data!F:F,data!A:A,'weekly-forecast'!B120,data!B:B,'weekly-forecast'!C120)</f>
        <v>300</v>
      </c>
      <c r="F120" s="190">
        <v>182.5</v>
      </c>
      <c r="G120" s="190">
        <v>277.5</v>
      </c>
      <c r="H120" s="190">
        <v>252.5</v>
      </c>
      <c r="I120" s="170">
        <v>1.7015999999999998</v>
      </c>
      <c r="J120" s="190">
        <v>88.974545454545449</v>
      </c>
      <c r="K120" s="200">
        <f>AVERAGE(D120:D123)</f>
        <v>330</v>
      </c>
      <c r="L120" s="200">
        <f t="shared" ref="L120:P120" si="356">AVERAGE(E120:E123)</f>
        <v>300</v>
      </c>
      <c r="M120" s="200">
        <f t="shared" si="356"/>
        <v>205.625</v>
      </c>
      <c r="N120" s="200">
        <f t="shared" si="356"/>
        <v>266.125</v>
      </c>
      <c r="O120" s="200">
        <f t="shared" si="356"/>
        <v>267.5</v>
      </c>
      <c r="P120" s="200">
        <f t="shared" si="356"/>
        <v>1.7692999999999999</v>
      </c>
      <c r="Q120" s="171">
        <f t="shared" si="272"/>
        <v>0</v>
      </c>
      <c r="R120" s="171">
        <f t="shared" si="273"/>
        <v>-8.9285714285714281E-3</v>
      </c>
      <c r="S120" s="171">
        <f t="shared" si="274"/>
        <v>0</v>
      </c>
      <c r="T120" s="171">
        <f t="shared" si="275"/>
        <v>-1.5733456732994176E-2</v>
      </c>
      <c r="U120" s="171">
        <f t="shared" si="276"/>
        <v>0</v>
      </c>
      <c r="V120" s="171">
        <f t="shared" si="347"/>
        <v>0</v>
      </c>
      <c r="W120" s="171">
        <f t="shared" si="277"/>
        <v>0</v>
      </c>
      <c r="X120" s="172">
        <f t="shared" si="255"/>
        <v>-0.23958333333333334</v>
      </c>
      <c r="Y120" s="172">
        <f t="shared" si="256"/>
        <v>-9.0163934426229511E-2</v>
      </c>
      <c r="Z120" s="172">
        <f t="shared" si="257"/>
        <v>-0.15833333333333333</v>
      </c>
      <c r="AA120" s="172">
        <f t="shared" si="258"/>
        <v>2.0296807075400818E-2</v>
      </c>
      <c r="AB120" s="172">
        <f t="shared" si="259"/>
        <v>4.7234573977801952E-2</v>
      </c>
      <c r="AC120" s="172">
        <f t="shared" si="325"/>
        <v>0</v>
      </c>
      <c r="AD120" s="172">
        <f t="shared" ref="AD120" si="357">(E120-E124)/E124</f>
        <v>0</v>
      </c>
      <c r="AE120" s="172">
        <f t="shared" si="261"/>
        <v>-5.1948051948051951E-2</v>
      </c>
      <c r="AF120" s="172">
        <f t="shared" si="262"/>
        <v>0.12121212121212122</v>
      </c>
      <c r="AG120" s="172">
        <f t="shared" si="263"/>
        <v>-0.16528925619834711</v>
      </c>
      <c r="AH120" s="172">
        <f t="shared" si="264"/>
        <v>-0.25772116559064739</v>
      </c>
      <c r="AI120" s="172">
        <f t="shared" si="265"/>
        <v>6.5104212010934776E-2</v>
      </c>
      <c r="AJ120" s="172">
        <f t="shared" si="327"/>
        <v>-0.4</v>
      </c>
      <c r="AK120" s="172">
        <f t="shared" ref="AK120" si="358">(E120-E172)/E172</f>
        <v>-0.34782608695652173</v>
      </c>
    </row>
    <row r="121" spans="1:37" x14ac:dyDescent="0.3">
      <c r="A121" s="169">
        <v>45401</v>
      </c>
      <c r="B121" s="159">
        <f t="shared" si="270"/>
        <v>2024</v>
      </c>
      <c r="C121" s="159">
        <f t="shared" si="271"/>
        <v>4</v>
      </c>
      <c r="D121" s="190">
        <f>AVERAGEIFS(data!G:G,data!A:A,'weekly-forecast'!B121,data!B:B,'weekly-forecast'!C121)</f>
        <v>330</v>
      </c>
      <c r="E121" s="190">
        <f>AVERAGEIFS(data!F:F,data!A:A,'weekly-forecast'!B121,data!B:B,'weekly-forecast'!C121)</f>
        <v>300</v>
      </c>
      <c r="F121" s="190">
        <v>182.5</v>
      </c>
      <c r="G121" s="190">
        <v>280</v>
      </c>
      <c r="H121" s="190">
        <v>252.5</v>
      </c>
      <c r="I121" s="170">
        <v>1.7288000000000001</v>
      </c>
      <c r="J121" s="190">
        <v>88.974545454545449</v>
      </c>
      <c r="K121" s="201"/>
      <c r="L121" s="201"/>
      <c r="M121" s="201"/>
      <c r="N121" s="201"/>
      <c r="O121" s="201"/>
      <c r="P121" s="201"/>
      <c r="Q121" s="171">
        <f t="shared" si="272"/>
        <v>-0.16091954022988506</v>
      </c>
      <c r="R121" s="171">
        <f t="shared" si="273"/>
        <v>0</v>
      </c>
      <c r="S121" s="171">
        <f t="shared" si="274"/>
        <v>-0.10619469026548672</v>
      </c>
      <c r="T121" s="171">
        <f t="shared" si="275"/>
        <v>-5.3749315818281254E-2</v>
      </c>
      <c r="U121" s="171">
        <f t="shared" si="276"/>
        <v>0</v>
      </c>
      <c r="V121" s="171">
        <f t="shared" si="347"/>
        <v>0</v>
      </c>
      <c r="W121" s="171">
        <f t="shared" si="277"/>
        <v>0</v>
      </c>
      <c r="X121" s="172">
        <f t="shared" si="255"/>
        <v>-0.23958333333333334</v>
      </c>
      <c r="Y121" s="172">
        <f t="shared" si="256"/>
        <v>-8.1967213114754092E-2</v>
      </c>
      <c r="Z121" s="172">
        <f t="shared" si="257"/>
        <v>-0.15833333333333333</v>
      </c>
      <c r="AA121" s="172">
        <f t="shared" si="258"/>
        <v>1.8378887841658881E-2</v>
      </c>
      <c r="AB121" s="172">
        <f t="shared" si="259"/>
        <v>4.7234573977801952E-2</v>
      </c>
      <c r="AC121" s="172">
        <f t="shared" si="325"/>
        <v>0</v>
      </c>
      <c r="AD121" s="172">
        <f t="shared" ref="AD121" si="359">(E121-E125)/E125</f>
        <v>0</v>
      </c>
      <c r="AE121" s="172">
        <f t="shared" si="261"/>
        <v>-9.8765432098765427E-2</v>
      </c>
      <c r="AF121" s="172">
        <f t="shared" si="262"/>
        <v>5.6603773584905662E-2</v>
      </c>
      <c r="AG121" s="172">
        <f t="shared" si="263"/>
        <v>-0.16528925619834711</v>
      </c>
      <c r="AH121" s="172">
        <f t="shared" si="264"/>
        <v>-0.2380784486557955</v>
      </c>
      <c r="AI121" s="172">
        <f t="shared" si="265"/>
        <v>6.5104212010934776E-2</v>
      </c>
      <c r="AJ121" s="172">
        <f t="shared" si="327"/>
        <v>-0.4</v>
      </c>
      <c r="AK121" s="172">
        <f t="shared" ref="AK121" si="360">(E121-E173)/E173</f>
        <v>-0.34782608695652173</v>
      </c>
    </row>
    <row r="122" spans="1:37" x14ac:dyDescent="0.3">
      <c r="A122" s="169">
        <v>45394</v>
      </c>
      <c r="B122" s="159">
        <f t="shared" si="270"/>
        <v>2024</v>
      </c>
      <c r="C122" s="159">
        <f t="shared" si="271"/>
        <v>4</v>
      </c>
      <c r="D122" s="190">
        <f>AVERAGEIFS(data!G:G,data!A:A,'weekly-forecast'!B122,data!B:B,'weekly-forecast'!C122)</f>
        <v>330</v>
      </c>
      <c r="E122" s="190">
        <f>AVERAGEIFS(data!F:F,data!A:A,'weekly-forecast'!B122,data!B:B,'weekly-forecast'!C122)</f>
        <v>300</v>
      </c>
      <c r="F122" s="190">
        <v>217.5</v>
      </c>
      <c r="G122" s="190">
        <v>280</v>
      </c>
      <c r="H122" s="190">
        <v>282.5</v>
      </c>
      <c r="I122" s="170">
        <v>1.827</v>
      </c>
      <c r="J122" s="190">
        <v>88.974545454545449</v>
      </c>
      <c r="K122" s="201"/>
      <c r="L122" s="201"/>
      <c r="M122" s="201"/>
      <c r="N122" s="201"/>
      <c r="O122" s="201"/>
      <c r="P122" s="201"/>
      <c r="Q122" s="171">
        <f t="shared" si="272"/>
        <v>-9.375E-2</v>
      </c>
      <c r="R122" s="171">
        <f t="shared" si="273"/>
        <v>0.23348017621145375</v>
      </c>
      <c r="S122" s="171">
        <f t="shared" si="274"/>
        <v>0</v>
      </c>
      <c r="T122" s="171">
        <f t="shared" si="275"/>
        <v>3.9564787339267356E-3</v>
      </c>
      <c r="U122" s="171">
        <f t="shared" si="276"/>
        <v>0</v>
      </c>
      <c r="V122" s="171">
        <f t="shared" si="347"/>
        <v>0</v>
      </c>
      <c r="W122" s="171">
        <f t="shared" si="277"/>
        <v>0</v>
      </c>
      <c r="X122" s="172">
        <f t="shared" si="255"/>
        <v>-9.375E-2</v>
      </c>
      <c r="Y122" s="172">
        <f t="shared" si="256"/>
        <v>-8.1967213114754092E-2</v>
      </c>
      <c r="Z122" s="172">
        <f t="shared" si="257"/>
        <v>-4.2372881355932202E-2</v>
      </c>
      <c r="AA122" s="172">
        <f t="shared" si="258"/>
        <v>7.1302920136038284E-2</v>
      </c>
      <c r="AB122" s="172">
        <f t="shared" si="259"/>
        <v>4.7234573977801952E-2</v>
      </c>
      <c r="AC122" s="172">
        <f t="shared" si="325"/>
        <v>0</v>
      </c>
      <c r="AD122" s="172">
        <f t="shared" ref="AD122" si="361">(E122-E126)/E126</f>
        <v>0</v>
      </c>
      <c r="AE122" s="172">
        <f t="shared" si="261"/>
        <v>2.3529411764705882E-2</v>
      </c>
      <c r="AF122" s="172">
        <f t="shared" si="262"/>
        <v>5.6603773584905662E-2</v>
      </c>
      <c r="AG122" s="172">
        <f t="shared" si="263"/>
        <v>8.9285714285714281E-3</v>
      </c>
      <c r="AH122" s="172">
        <f t="shared" si="264"/>
        <v>-0.13592508513053361</v>
      </c>
      <c r="AI122" s="172">
        <f t="shared" si="265"/>
        <v>6.5104212010934776E-2</v>
      </c>
      <c r="AJ122" s="172">
        <f t="shared" si="327"/>
        <v>-0.4</v>
      </c>
      <c r="AK122" s="172">
        <f t="shared" ref="AK122" si="362">(E122-E174)/E174</f>
        <v>-0.34782608695652173</v>
      </c>
    </row>
    <row r="123" spans="1:37" x14ac:dyDescent="0.3">
      <c r="A123" s="169">
        <v>45387</v>
      </c>
      <c r="B123" s="159">
        <f t="shared" si="270"/>
        <v>2024</v>
      </c>
      <c r="C123" s="159">
        <f t="shared" si="271"/>
        <v>4</v>
      </c>
      <c r="D123" s="190">
        <f>AVERAGEIFS(data!G:G,data!A:A,'weekly-forecast'!B123,data!B:B,'weekly-forecast'!C123)</f>
        <v>330</v>
      </c>
      <c r="E123" s="190">
        <f>AVERAGEIFS(data!F:F,data!A:A,'weekly-forecast'!B123,data!B:B,'weekly-forecast'!C123)</f>
        <v>300</v>
      </c>
      <c r="F123" s="190">
        <v>240</v>
      </c>
      <c r="G123" s="190">
        <v>227</v>
      </c>
      <c r="H123" s="190">
        <v>282.5</v>
      </c>
      <c r="I123" s="170">
        <v>1.8198000000000001</v>
      </c>
      <c r="J123" s="190">
        <v>88.974545454545449</v>
      </c>
      <c r="K123" s="202"/>
      <c r="L123" s="202"/>
      <c r="M123" s="202"/>
      <c r="N123" s="202"/>
      <c r="O123" s="202"/>
      <c r="P123" s="202"/>
      <c r="Q123" s="171">
        <f t="shared" si="272"/>
        <v>0</v>
      </c>
      <c r="R123" s="171">
        <f t="shared" si="273"/>
        <v>-0.25573770491803277</v>
      </c>
      <c r="S123" s="171">
        <f t="shared" si="274"/>
        <v>-5.8333333333333334E-2</v>
      </c>
      <c r="T123" s="171">
        <f t="shared" si="275"/>
        <v>9.1170739019637237E-2</v>
      </c>
      <c r="U123" s="171">
        <f t="shared" si="276"/>
        <v>4.7234573977801952E-2</v>
      </c>
      <c r="V123" s="171">
        <f t="shared" si="347"/>
        <v>0</v>
      </c>
      <c r="W123" s="171">
        <f t="shared" si="277"/>
        <v>0</v>
      </c>
      <c r="X123" s="172">
        <f t="shared" si="255"/>
        <v>0.11627906976744186</v>
      </c>
      <c r="Y123" s="172">
        <f t="shared" si="256"/>
        <v>-0.25573770491803277</v>
      </c>
      <c r="Z123" s="172">
        <f t="shared" si="257"/>
        <v>-8.8709677419354843E-2</v>
      </c>
      <c r="AA123" s="172">
        <f t="shared" si="258"/>
        <v>-3.4588859416445697E-2</v>
      </c>
      <c r="AB123" s="172">
        <f t="shared" si="259"/>
        <v>4.7234573977801952E-2</v>
      </c>
      <c r="AC123" s="172">
        <f t="shared" si="325"/>
        <v>0</v>
      </c>
      <c r="AD123" s="172">
        <f t="shared" ref="AD123" si="363">(E123-E127)/E127</f>
        <v>0</v>
      </c>
      <c r="AE123" s="172">
        <f t="shared" si="261"/>
        <v>0.13475177304964539</v>
      </c>
      <c r="AF123" s="172">
        <f t="shared" si="262"/>
        <v>-0.25573770491803277</v>
      </c>
      <c r="AG123" s="172">
        <f t="shared" si="263"/>
        <v>8.6538461538461536E-2</v>
      </c>
      <c r="AH123" s="172">
        <f t="shared" si="264"/>
        <v>-0.12341040462427726</v>
      </c>
      <c r="AI123" s="172">
        <f t="shared" si="265"/>
        <v>6.5104212010934776E-2</v>
      </c>
      <c r="AJ123" s="172">
        <f t="shared" si="327"/>
        <v>-0.4</v>
      </c>
      <c r="AK123" s="172">
        <f t="shared" ref="AK123" si="364">(E123-E175)/E175</f>
        <v>-0.34782608695652173</v>
      </c>
    </row>
    <row r="124" spans="1:37" x14ac:dyDescent="0.3">
      <c r="A124" s="169">
        <v>45380</v>
      </c>
      <c r="B124" s="159">
        <f t="shared" si="270"/>
        <v>2024</v>
      </c>
      <c r="C124" s="159">
        <f t="shared" si="271"/>
        <v>3</v>
      </c>
      <c r="D124" s="190">
        <f>AVERAGEIFS(data!G:G,data!A:A,'weekly-forecast'!B124,data!B:B,'weekly-forecast'!C124)</f>
        <v>330</v>
      </c>
      <c r="E124" s="190">
        <f>AVERAGEIFS(data!F:F,data!A:A,'weekly-forecast'!B124,data!B:B,'weekly-forecast'!C124)</f>
        <v>300</v>
      </c>
      <c r="F124" s="190">
        <v>240</v>
      </c>
      <c r="G124" s="190">
        <v>305</v>
      </c>
      <c r="H124" s="190">
        <v>300</v>
      </c>
      <c r="I124" s="170">
        <v>1.6677500000000001</v>
      </c>
      <c r="J124" s="190">
        <v>84.96142857142857</v>
      </c>
      <c r="K124" s="200">
        <f>AVERAGE(D124:D128)</f>
        <v>330</v>
      </c>
      <c r="L124" s="200">
        <f t="shared" ref="L124:P124" si="365">AVERAGE(E124:E128)</f>
        <v>300</v>
      </c>
      <c r="M124" s="200">
        <f t="shared" si="365"/>
        <v>230</v>
      </c>
      <c r="N124" s="200">
        <f t="shared" si="365"/>
        <v>305</v>
      </c>
      <c r="O124" s="200">
        <f t="shared" si="365"/>
        <v>303</v>
      </c>
      <c r="P124" s="200">
        <f t="shared" si="365"/>
        <v>1.7453099999999999</v>
      </c>
      <c r="Q124" s="171">
        <f t="shared" si="272"/>
        <v>0</v>
      </c>
      <c r="R124" s="171">
        <f t="shared" si="273"/>
        <v>0</v>
      </c>
      <c r="S124" s="171">
        <f t="shared" si="274"/>
        <v>0</v>
      </c>
      <c r="T124" s="171">
        <f t="shared" si="275"/>
        <v>-1.7583647502356227E-2</v>
      </c>
      <c r="U124" s="171">
        <f t="shared" si="276"/>
        <v>0</v>
      </c>
      <c r="V124" s="171">
        <f t="shared" si="347"/>
        <v>0</v>
      </c>
      <c r="W124" s="171">
        <f t="shared" si="277"/>
        <v>0</v>
      </c>
      <c r="X124" s="172">
        <f t="shared" si="255"/>
        <v>0.11627906976744186</v>
      </c>
      <c r="Y124" s="172">
        <f t="shared" si="256"/>
        <v>0</v>
      </c>
      <c r="Z124" s="172">
        <f t="shared" si="257"/>
        <v>-3.2258064516129031E-2</v>
      </c>
      <c r="AA124" s="172">
        <f t="shared" si="258"/>
        <v>-5.8194036593630039E-2</v>
      </c>
      <c r="AB124" s="172">
        <f t="shared" si="259"/>
        <v>0</v>
      </c>
      <c r="AC124" s="172">
        <f t="shared" si="325"/>
        <v>0</v>
      </c>
      <c r="AD124" s="172">
        <f t="shared" ref="AD124" si="366">(E124-E128)/E128</f>
        <v>0</v>
      </c>
      <c r="AE124" s="172">
        <f t="shared" si="261"/>
        <v>2.7837259100642397E-2</v>
      </c>
      <c r="AF124" s="172">
        <f t="shared" si="262"/>
        <v>-0.18666666666666668</v>
      </c>
      <c r="AG124" s="172">
        <f t="shared" si="263"/>
        <v>0.1111111111111111</v>
      </c>
      <c r="AH124" s="172">
        <f t="shared" si="264"/>
        <v>-0.20042669479336458</v>
      </c>
      <c r="AI124" s="172">
        <f t="shared" si="265"/>
        <v>7.1980282595236769E-2</v>
      </c>
      <c r="AJ124" s="172">
        <f t="shared" si="327"/>
        <v>-0.4</v>
      </c>
      <c r="AK124" s="172">
        <f t="shared" ref="AK124" si="367">(E124-E176)/E176</f>
        <v>-0.34782608695652173</v>
      </c>
    </row>
    <row r="125" spans="1:37" x14ac:dyDescent="0.3">
      <c r="A125" s="169">
        <v>45373</v>
      </c>
      <c r="B125" s="159">
        <f t="shared" si="270"/>
        <v>2024</v>
      </c>
      <c r="C125" s="159">
        <f t="shared" si="271"/>
        <v>3</v>
      </c>
      <c r="D125" s="190">
        <f>AVERAGEIFS(data!G:G,data!A:A,'weekly-forecast'!B125,data!B:B,'weekly-forecast'!C125)</f>
        <v>330</v>
      </c>
      <c r="E125" s="190">
        <f>AVERAGEIFS(data!F:F,data!A:A,'weekly-forecast'!B125,data!B:B,'weekly-forecast'!C125)</f>
        <v>300</v>
      </c>
      <c r="F125" s="190">
        <v>240</v>
      </c>
      <c r="G125" s="190">
        <v>305</v>
      </c>
      <c r="H125" s="190">
        <v>300</v>
      </c>
      <c r="I125" s="170">
        <v>1.6976</v>
      </c>
      <c r="J125" s="190">
        <v>84.96142857142857</v>
      </c>
      <c r="K125" s="201"/>
      <c r="L125" s="201"/>
      <c r="M125" s="201"/>
      <c r="N125" s="201"/>
      <c r="O125" s="201"/>
      <c r="P125" s="201"/>
      <c r="Q125" s="171">
        <f t="shared" si="272"/>
        <v>0</v>
      </c>
      <c r="R125" s="171">
        <f t="shared" si="273"/>
        <v>0</v>
      </c>
      <c r="S125" s="171">
        <f t="shared" si="274"/>
        <v>1.6949152542372881E-2</v>
      </c>
      <c r="T125" s="171">
        <f t="shared" si="275"/>
        <v>-4.5737070481999828E-3</v>
      </c>
      <c r="U125" s="171">
        <f t="shared" si="276"/>
        <v>0</v>
      </c>
      <c r="V125" s="171">
        <f t="shared" si="347"/>
        <v>0</v>
      </c>
      <c r="W125" s="171">
        <f t="shared" si="277"/>
        <v>0</v>
      </c>
      <c r="X125" s="172">
        <f t="shared" si="255"/>
        <v>0.11627906976744186</v>
      </c>
      <c r="Y125" s="172">
        <f t="shared" si="256"/>
        <v>-6.1538461538461542E-2</v>
      </c>
      <c r="Z125" s="172">
        <f t="shared" si="257"/>
        <v>-4.7619047619047616E-2</v>
      </c>
      <c r="AA125" s="172">
        <f t="shared" si="258"/>
        <v>1.591861160981459E-2</v>
      </c>
      <c r="AB125" s="172">
        <f t="shared" si="259"/>
        <v>3.8702691373980316E-2</v>
      </c>
      <c r="AC125" s="172">
        <f t="shared" si="325"/>
        <v>0</v>
      </c>
      <c r="AD125" s="172">
        <f t="shared" ref="AD125" si="368">(E125-E129)/E129</f>
        <v>-3.2258064516129031E-2</v>
      </c>
      <c r="AE125" s="172">
        <f t="shared" si="261"/>
        <v>-0.14285714285714285</v>
      </c>
      <c r="AF125" s="172">
        <f t="shared" si="262"/>
        <v>-0.18666666666666668</v>
      </c>
      <c r="AG125" s="172">
        <f t="shared" si="263"/>
        <v>0.12149532710280374</v>
      </c>
      <c r="AH125" s="172">
        <f t="shared" si="264"/>
        <v>-0.23614110871130292</v>
      </c>
      <c r="AI125" s="172">
        <f t="shared" si="265"/>
        <v>7.1980282595236769E-2</v>
      </c>
      <c r="AJ125" s="172">
        <f t="shared" si="327"/>
        <v>-0.4</v>
      </c>
      <c r="AK125" s="172">
        <f t="shared" ref="AK125" si="369">(E125-E177)/E177</f>
        <v>-0.34782608695652173</v>
      </c>
    </row>
    <row r="126" spans="1:37" x14ac:dyDescent="0.3">
      <c r="A126" s="169">
        <v>45366</v>
      </c>
      <c r="B126" s="159">
        <f t="shared" si="270"/>
        <v>2024</v>
      </c>
      <c r="C126" s="159">
        <f t="shared" si="271"/>
        <v>3</v>
      </c>
      <c r="D126" s="190">
        <f>AVERAGEIFS(data!G:G,data!A:A,'weekly-forecast'!B126,data!B:B,'weekly-forecast'!C126)</f>
        <v>330</v>
      </c>
      <c r="E126" s="190">
        <f>AVERAGEIFS(data!F:F,data!A:A,'weekly-forecast'!B126,data!B:B,'weekly-forecast'!C126)</f>
        <v>300</v>
      </c>
      <c r="F126" s="190">
        <v>240</v>
      </c>
      <c r="G126" s="190">
        <v>305</v>
      </c>
      <c r="H126" s="190">
        <v>295</v>
      </c>
      <c r="I126" s="170">
        <v>1.7054000000000002</v>
      </c>
      <c r="J126" s="190">
        <v>84.96142857142857</v>
      </c>
      <c r="K126" s="201"/>
      <c r="L126" s="201"/>
      <c r="M126" s="201"/>
      <c r="N126" s="201"/>
      <c r="O126" s="201"/>
      <c r="P126" s="201"/>
      <c r="Q126" s="171">
        <f t="shared" si="272"/>
        <v>0.11627906976744186</v>
      </c>
      <c r="R126" s="171">
        <f t="shared" si="273"/>
        <v>0</v>
      </c>
      <c r="S126" s="171">
        <f t="shared" si="274"/>
        <v>-4.8387096774193547E-2</v>
      </c>
      <c r="T126" s="171">
        <f t="shared" si="275"/>
        <v>-9.52785145888594E-2</v>
      </c>
      <c r="U126" s="171">
        <f t="shared" si="276"/>
        <v>0</v>
      </c>
      <c r="V126" s="171">
        <f t="shared" si="347"/>
        <v>0</v>
      </c>
      <c r="W126" s="171">
        <f t="shared" si="277"/>
        <v>0</v>
      </c>
      <c r="X126" s="172">
        <f t="shared" si="255"/>
        <v>0.10344827586206896</v>
      </c>
      <c r="Y126" s="172">
        <f t="shared" si="256"/>
        <v>-6.1538461538461542E-2</v>
      </c>
      <c r="Z126" s="172">
        <f t="shared" si="257"/>
        <v>-3.2786885245901641E-2</v>
      </c>
      <c r="AA126" s="172">
        <f t="shared" si="258"/>
        <v>3.2824612403100924E-2</v>
      </c>
      <c r="AB126" s="172">
        <f t="shared" si="259"/>
        <v>3.8702691373980316E-2</v>
      </c>
      <c r="AC126" s="172">
        <f t="shared" si="325"/>
        <v>0</v>
      </c>
      <c r="AD126" s="172">
        <f t="shared" ref="AD126" si="370">(E126-E130)/E130</f>
        <v>-3.2258064516129031E-2</v>
      </c>
      <c r="AE126" s="172">
        <f t="shared" si="261"/>
        <v>-9.4339622641509441E-2</v>
      </c>
      <c r="AF126" s="172">
        <f t="shared" si="262"/>
        <v>-0.18666666666666668</v>
      </c>
      <c r="AG126" s="172">
        <f t="shared" si="263"/>
        <v>-6.3492063492063489E-2</v>
      </c>
      <c r="AH126" s="172">
        <f t="shared" si="264"/>
        <v>-0.31619887730553325</v>
      </c>
      <c r="AI126" s="172">
        <f t="shared" si="265"/>
        <v>7.1980282595236769E-2</v>
      </c>
      <c r="AJ126" s="172">
        <f t="shared" si="327"/>
        <v>-0.4</v>
      </c>
      <c r="AK126" s="172">
        <f t="shared" ref="AK126" si="371">(E126-E178)/E178</f>
        <v>-0.34782608695652173</v>
      </c>
    </row>
    <row r="127" spans="1:37" x14ac:dyDescent="0.3">
      <c r="A127" s="169">
        <v>45359</v>
      </c>
      <c r="B127" s="159">
        <f t="shared" si="270"/>
        <v>2024</v>
      </c>
      <c r="C127" s="159">
        <f t="shared" si="271"/>
        <v>3</v>
      </c>
      <c r="D127" s="190">
        <f>AVERAGEIFS(data!G:G,data!A:A,'weekly-forecast'!B127,data!B:B,'weekly-forecast'!C127)</f>
        <v>330</v>
      </c>
      <c r="E127" s="190">
        <f>AVERAGEIFS(data!F:F,data!A:A,'weekly-forecast'!B127,data!B:B,'weekly-forecast'!C127)</f>
        <v>300</v>
      </c>
      <c r="F127" s="190">
        <v>215</v>
      </c>
      <c r="G127" s="190">
        <v>305</v>
      </c>
      <c r="H127" s="190">
        <v>310</v>
      </c>
      <c r="I127" s="170">
        <v>1.8850000000000002</v>
      </c>
      <c r="J127" s="190">
        <v>84.96142857142857</v>
      </c>
      <c r="K127" s="201"/>
      <c r="L127" s="201"/>
      <c r="M127" s="201"/>
      <c r="N127" s="201"/>
      <c r="O127" s="201"/>
      <c r="P127" s="201"/>
      <c r="Q127" s="171">
        <f t="shared" si="272"/>
        <v>0</v>
      </c>
      <c r="R127" s="171">
        <f t="shared" si="273"/>
        <v>0</v>
      </c>
      <c r="S127" s="171">
        <f t="shared" si="274"/>
        <v>0</v>
      </c>
      <c r="T127" s="171">
        <f t="shared" si="275"/>
        <v>6.4490625705895685E-2</v>
      </c>
      <c r="U127" s="171">
        <f t="shared" si="276"/>
        <v>0</v>
      </c>
      <c r="V127" s="171">
        <f t="shared" si="347"/>
        <v>0</v>
      </c>
      <c r="W127" s="171">
        <f t="shared" si="277"/>
        <v>0</v>
      </c>
      <c r="X127" s="172">
        <f t="shared" si="255"/>
        <v>-1.1494252873563218E-2</v>
      </c>
      <c r="Y127" s="172">
        <f t="shared" si="256"/>
        <v>-6.1538461538461542E-2</v>
      </c>
      <c r="Z127" s="172">
        <f t="shared" si="257"/>
        <v>-1.2738853503184714E-2</v>
      </c>
      <c r="AA127" s="172">
        <f t="shared" si="258"/>
        <v>-4.0419466503766897E-2</v>
      </c>
      <c r="AB127" s="172">
        <f t="shared" si="259"/>
        <v>3.8702691373980316E-2</v>
      </c>
      <c r="AC127" s="172">
        <f t="shared" si="325"/>
        <v>0</v>
      </c>
      <c r="AD127" s="172">
        <f t="shared" ref="AD127" si="372">(E127-E131)/E131</f>
        <v>-3.2258064516129031E-2</v>
      </c>
      <c r="AE127" s="172">
        <f t="shared" si="261"/>
        <v>-0.18867924528301888</v>
      </c>
      <c r="AF127" s="172">
        <f t="shared" si="262"/>
        <v>-0.27810650887573962</v>
      </c>
      <c r="AG127" s="172">
        <f t="shared" si="263"/>
        <v>-1.5873015873015872E-2</v>
      </c>
      <c r="AH127" s="172">
        <f t="shared" si="264"/>
        <v>-0.26269263866072129</v>
      </c>
      <c r="AI127" s="172">
        <f t="shared" si="265"/>
        <v>7.1980282595236769E-2</v>
      </c>
      <c r="AJ127" s="172">
        <f t="shared" si="327"/>
        <v>-0.4</v>
      </c>
      <c r="AK127" s="172">
        <f t="shared" ref="AK127" si="373">(E127-E179)/E179</f>
        <v>-0.34782608695652173</v>
      </c>
    </row>
    <row r="128" spans="1:37" x14ac:dyDescent="0.3">
      <c r="A128" s="169">
        <v>45352</v>
      </c>
      <c r="B128" s="159">
        <f t="shared" si="270"/>
        <v>2024</v>
      </c>
      <c r="C128" s="159">
        <f t="shared" si="271"/>
        <v>3</v>
      </c>
      <c r="D128" s="190">
        <f>AVERAGEIFS(data!G:G,data!A:A,'weekly-forecast'!B128,data!B:B,'weekly-forecast'!C128)</f>
        <v>330</v>
      </c>
      <c r="E128" s="190">
        <f>AVERAGEIFS(data!F:F,data!A:A,'weekly-forecast'!B128,data!B:B,'weekly-forecast'!C128)</f>
        <v>300</v>
      </c>
      <c r="F128" s="190">
        <v>215</v>
      </c>
      <c r="G128" s="190">
        <v>305</v>
      </c>
      <c r="H128" s="190">
        <v>310</v>
      </c>
      <c r="I128" s="170">
        <v>1.7708000000000002</v>
      </c>
      <c r="J128" s="190">
        <v>84.96142857142857</v>
      </c>
      <c r="K128" s="202"/>
      <c r="L128" s="202"/>
      <c r="M128" s="202"/>
      <c r="N128" s="202"/>
      <c r="O128" s="202"/>
      <c r="P128" s="202"/>
      <c r="Q128" s="171">
        <f t="shared" si="272"/>
        <v>0</v>
      </c>
      <c r="R128" s="171">
        <f t="shared" si="273"/>
        <v>-6.1538461538461542E-2</v>
      </c>
      <c r="S128" s="171">
        <f t="shared" si="274"/>
        <v>-1.5873015873015872E-2</v>
      </c>
      <c r="T128" s="171">
        <f t="shared" si="275"/>
        <v>5.9724715739078602E-2</v>
      </c>
      <c r="U128" s="171">
        <f t="shared" si="276"/>
        <v>3.8702691373980316E-2</v>
      </c>
      <c r="V128" s="171">
        <f t="shared" si="347"/>
        <v>0</v>
      </c>
      <c r="W128" s="171">
        <f t="shared" si="277"/>
        <v>-3.2258064516129031E-2</v>
      </c>
      <c r="X128" s="172">
        <f t="shared" si="255"/>
        <v>0.14666666666666667</v>
      </c>
      <c r="Y128" s="172">
        <f t="shared" si="256"/>
        <v>-6.1538461538461542E-2</v>
      </c>
      <c r="Z128" s="172">
        <f t="shared" si="257"/>
        <v>5.0847457627118647E-2</v>
      </c>
      <c r="AA128" s="172">
        <f t="shared" si="258"/>
        <v>-0.17988143756947003</v>
      </c>
      <c r="AB128" s="172">
        <f t="shared" si="259"/>
        <v>3.8702691373980316E-2</v>
      </c>
      <c r="AC128" s="172">
        <f t="shared" si="325"/>
        <v>0</v>
      </c>
      <c r="AD128" s="172">
        <f t="shared" ref="AD128" si="374">(E128-E132)/E132</f>
        <v>-3.2258064516129031E-2</v>
      </c>
      <c r="AE128" s="172">
        <f t="shared" si="261"/>
        <v>-0.20370370370370369</v>
      </c>
      <c r="AF128" s="172">
        <f t="shared" si="262"/>
        <v>-0.48739495798319327</v>
      </c>
      <c r="AG128" s="172">
        <f t="shared" si="263"/>
        <v>8.130081300813009E-3</v>
      </c>
      <c r="AH128" s="172">
        <f t="shared" si="264"/>
        <v>-0.3704046078361658</v>
      </c>
      <c r="AI128" s="172">
        <f t="shared" si="265"/>
        <v>7.1980282595236769E-2</v>
      </c>
      <c r="AJ128" s="172">
        <f t="shared" si="327"/>
        <v>-0.4</v>
      </c>
      <c r="AK128" s="172">
        <f t="shared" ref="AK128" si="375">(E128-E180)/E180</f>
        <v>-0.34782608695652173</v>
      </c>
    </row>
    <row r="129" spans="1:37" x14ac:dyDescent="0.3">
      <c r="A129" s="169">
        <v>45345</v>
      </c>
      <c r="B129" s="159">
        <f t="shared" si="270"/>
        <v>2024</v>
      </c>
      <c r="C129" s="159">
        <f t="shared" si="271"/>
        <v>2</v>
      </c>
      <c r="D129" s="190">
        <f>AVERAGEIFS(data!G:G,data!A:A,'weekly-forecast'!B129,data!B:B,'weekly-forecast'!C129)</f>
        <v>330</v>
      </c>
      <c r="E129" s="190">
        <f>AVERAGEIFS(data!F:F,data!A:A,'weekly-forecast'!B129,data!B:B,'weekly-forecast'!C129)</f>
        <v>310</v>
      </c>
      <c r="F129" s="190">
        <v>215</v>
      </c>
      <c r="G129" s="190">
        <v>325</v>
      </c>
      <c r="H129" s="190">
        <v>315</v>
      </c>
      <c r="I129" s="170">
        <v>1.6709999999999998</v>
      </c>
      <c r="J129" s="190">
        <v>81.795714285714297</v>
      </c>
      <c r="K129" s="200">
        <f>AVERAGE(D129:D132)</f>
        <v>330</v>
      </c>
      <c r="L129" s="200">
        <f t="shared" ref="L129:P129" si="376">AVERAGE(E129:E132)</f>
        <v>310</v>
      </c>
      <c r="M129" s="200">
        <f t="shared" si="376"/>
        <v>209.375</v>
      </c>
      <c r="N129" s="200">
        <f t="shared" si="376"/>
        <v>325</v>
      </c>
      <c r="O129" s="200">
        <f t="shared" si="376"/>
        <v>307.25</v>
      </c>
      <c r="P129" s="200">
        <f t="shared" si="376"/>
        <v>1.86145</v>
      </c>
      <c r="Q129" s="171">
        <f t="shared" si="272"/>
        <v>-1.1494252873563218E-2</v>
      </c>
      <c r="R129" s="171">
        <f t="shared" si="273"/>
        <v>0</v>
      </c>
      <c r="S129" s="171">
        <f t="shared" si="274"/>
        <v>3.2786885245901641E-2</v>
      </c>
      <c r="T129" s="171">
        <f t="shared" si="275"/>
        <v>1.1991279069767331E-2</v>
      </c>
      <c r="U129" s="171">
        <f t="shared" si="276"/>
        <v>0</v>
      </c>
      <c r="V129" s="171">
        <f t="shared" si="347"/>
        <v>0</v>
      </c>
      <c r="W129" s="171">
        <f t="shared" si="277"/>
        <v>0</v>
      </c>
      <c r="X129" s="172">
        <f t="shared" si="255"/>
        <v>0.14666666666666667</v>
      </c>
      <c r="Y129" s="172">
        <f t="shared" si="256"/>
        <v>-0.23529411764705882</v>
      </c>
      <c r="Z129" s="172">
        <f t="shared" si="257"/>
        <v>6.7796610169491525E-2</v>
      </c>
      <c r="AA129" s="172">
        <f t="shared" si="258"/>
        <v>-0.34690846556710714</v>
      </c>
      <c r="AB129" s="172">
        <f t="shared" si="259"/>
        <v>3.3949112447406109E-2</v>
      </c>
      <c r="AC129" s="172">
        <f t="shared" si="325"/>
        <v>0</v>
      </c>
      <c r="AD129" s="172">
        <f t="shared" ref="AD129" si="377">(E129-E133)/E133</f>
        <v>0</v>
      </c>
      <c r="AE129" s="172">
        <f t="shared" si="261"/>
        <v>-0.20370370370370369</v>
      </c>
      <c r="AF129" s="172">
        <f t="shared" si="262"/>
        <v>-0.47154471544715448</v>
      </c>
      <c r="AG129" s="172">
        <f t="shared" si="263"/>
        <v>8.6206896551724144E-2</v>
      </c>
      <c r="AH129" s="172">
        <f t="shared" si="264"/>
        <v>-0.25832223701731039</v>
      </c>
      <c r="AI129" s="172">
        <f t="shared" si="265"/>
        <v>-2.1962582898821588E-2</v>
      </c>
      <c r="AJ129" s="172">
        <f t="shared" si="327"/>
        <v>-0.3888888888888889</v>
      </c>
      <c r="AK129" s="172">
        <f t="shared" ref="AK129" si="378">(E129-E181)/E181</f>
        <v>-0.38</v>
      </c>
    </row>
    <row r="130" spans="1:37" x14ac:dyDescent="0.3">
      <c r="A130" s="169">
        <v>45338</v>
      </c>
      <c r="B130" s="159">
        <f t="shared" si="270"/>
        <v>2024</v>
      </c>
      <c r="C130" s="159">
        <f t="shared" si="271"/>
        <v>2</v>
      </c>
      <c r="D130" s="190">
        <f>AVERAGEIFS(data!G:G,data!A:A,'weekly-forecast'!B130,data!B:B,'weekly-forecast'!C130)</f>
        <v>330</v>
      </c>
      <c r="E130" s="190">
        <f>AVERAGEIFS(data!F:F,data!A:A,'weekly-forecast'!B130,data!B:B,'weekly-forecast'!C130)</f>
        <v>310</v>
      </c>
      <c r="F130" s="190">
        <v>217.5</v>
      </c>
      <c r="G130" s="190">
        <v>325</v>
      </c>
      <c r="H130" s="190">
        <v>305</v>
      </c>
      <c r="I130" s="170">
        <v>1.6512</v>
      </c>
      <c r="J130" s="190">
        <v>81.795714285714297</v>
      </c>
      <c r="K130" s="201"/>
      <c r="L130" s="201"/>
      <c r="M130" s="201"/>
      <c r="N130" s="201"/>
      <c r="O130" s="201"/>
      <c r="P130" s="201"/>
      <c r="Q130" s="171">
        <f t="shared" si="272"/>
        <v>0</v>
      </c>
      <c r="R130" s="171">
        <f t="shared" si="273"/>
        <v>0</v>
      </c>
      <c r="S130" s="171">
        <f t="shared" si="274"/>
        <v>-2.8662420382165606E-2</v>
      </c>
      <c r="T130" s="171">
        <f t="shared" si="275"/>
        <v>-0.15943799633475866</v>
      </c>
      <c r="U130" s="171">
        <f t="shared" si="276"/>
        <v>0</v>
      </c>
      <c r="V130" s="171">
        <f t="shared" si="347"/>
        <v>0</v>
      </c>
      <c r="W130" s="171">
        <f t="shared" si="277"/>
        <v>0</v>
      </c>
      <c r="X130" s="172">
        <f t="shared" si="255"/>
        <v>0.20833333333333334</v>
      </c>
      <c r="Y130" s="172">
        <f t="shared" si="256"/>
        <v>-0.23529411764705882</v>
      </c>
      <c r="Z130" s="172">
        <f t="shared" si="257"/>
        <v>0.15094339622641509</v>
      </c>
      <c r="AA130" s="172">
        <f t="shared" si="258"/>
        <v>-0.39879847078099401</v>
      </c>
      <c r="AB130" s="172">
        <f t="shared" si="259"/>
        <v>3.3949112447406109E-2</v>
      </c>
      <c r="AC130" s="172">
        <f t="shared" si="325"/>
        <v>0</v>
      </c>
      <c r="AD130" s="172">
        <f t="shared" ref="AD130" si="379">(E130-E134)/E134</f>
        <v>0</v>
      </c>
      <c r="AE130" s="172">
        <f t="shared" si="261"/>
        <v>-5.0218340611353711E-2</v>
      </c>
      <c r="AF130" s="172">
        <f t="shared" si="262"/>
        <v>-0.52554744525547448</v>
      </c>
      <c r="AG130" s="172">
        <f t="shared" si="263"/>
        <v>-4.6875E-2</v>
      </c>
      <c r="AH130" s="172">
        <f t="shared" si="264"/>
        <v>-0.31808044932683566</v>
      </c>
      <c r="AI130" s="172">
        <f t="shared" si="265"/>
        <v>-2.1962582898821588E-2</v>
      </c>
      <c r="AJ130" s="172">
        <f t="shared" si="327"/>
        <v>-0.3888888888888889</v>
      </c>
      <c r="AK130" s="172">
        <f t="shared" ref="AK130" si="380">(E130-E182)/E182</f>
        <v>-0.38</v>
      </c>
    </row>
    <row r="131" spans="1:37" x14ac:dyDescent="0.3">
      <c r="A131" s="169">
        <v>45331</v>
      </c>
      <c r="B131" s="159">
        <f t="shared" si="270"/>
        <v>2024</v>
      </c>
      <c r="C131" s="159">
        <f t="shared" si="271"/>
        <v>2</v>
      </c>
      <c r="D131" s="190">
        <f>AVERAGEIFS(data!G:G,data!A:A,'weekly-forecast'!B131,data!B:B,'weekly-forecast'!C131)</f>
        <v>330</v>
      </c>
      <c r="E131" s="190">
        <f>AVERAGEIFS(data!F:F,data!A:A,'weekly-forecast'!B131,data!B:B,'weekly-forecast'!C131)</f>
        <v>310</v>
      </c>
      <c r="F131" s="190">
        <v>217.5</v>
      </c>
      <c r="G131" s="190">
        <v>325</v>
      </c>
      <c r="H131" s="190">
        <v>314</v>
      </c>
      <c r="I131" s="170">
        <v>1.9643999999999999</v>
      </c>
      <c r="J131" s="190">
        <v>81.795714285714297</v>
      </c>
      <c r="K131" s="201"/>
      <c r="L131" s="201"/>
      <c r="M131" s="201"/>
      <c r="N131" s="201"/>
      <c r="O131" s="201"/>
      <c r="P131" s="201"/>
      <c r="Q131" s="171">
        <f t="shared" si="272"/>
        <v>0.16</v>
      </c>
      <c r="R131" s="171">
        <f t="shared" si="273"/>
        <v>0</v>
      </c>
      <c r="S131" s="171">
        <f t="shared" si="274"/>
        <v>6.4406779661016947E-2</v>
      </c>
      <c r="T131" s="171">
        <f t="shared" si="275"/>
        <v>-9.0218599481289311E-2</v>
      </c>
      <c r="U131" s="171">
        <f t="shared" si="276"/>
        <v>0</v>
      </c>
      <c r="V131" s="171">
        <f t="shared" si="347"/>
        <v>0</v>
      </c>
      <c r="W131" s="171">
        <f t="shared" si="277"/>
        <v>0</v>
      </c>
      <c r="X131" s="172">
        <f t="shared" si="255"/>
        <v>0.20833333333333334</v>
      </c>
      <c r="Y131" s="172">
        <f t="shared" si="256"/>
        <v>-0.23529411764705882</v>
      </c>
      <c r="Z131" s="172">
        <f t="shared" si="257"/>
        <v>0.28163265306122448</v>
      </c>
      <c r="AA131" s="172">
        <f t="shared" si="258"/>
        <v>-0.37115052180037139</v>
      </c>
      <c r="AB131" s="172">
        <f t="shared" si="259"/>
        <v>3.3949112447406109E-2</v>
      </c>
      <c r="AC131" s="172">
        <f t="shared" si="325"/>
        <v>0</v>
      </c>
      <c r="AD131" s="172">
        <f t="shared" ref="AD131" si="381">(E131-E135)/E135</f>
        <v>0</v>
      </c>
      <c r="AE131" s="172">
        <f t="shared" si="261"/>
        <v>-0.25</v>
      </c>
      <c r="AF131" s="172">
        <f t="shared" si="262"/>
        <v>-0.52554744525547448</v>
      </c>
      <c r="AG131" s="172">
        <f t="shared" si="263"/>
        <v>-8.3211678832116789E-2</v>
      </c>
      <c r="AH131" s="172">
        <f t="shared" si="264"/>
        <v>-0.20668766658589777</v>
      </c>
      <c r="AI131" s="172">
        <f t="shared" si="265"/>
        <v>-2.1962582898821588E-2</v>
      </c>
      <c r="AJ131" s="172">
        <f t="shared" si="327"/>
        <v>-0.3888888888888889</v>
      </c>
      <c r="AK131" s="172">
        <f t="shared" ref="AK131" si="382">(E131-E183)/E183</f>
        <v>-0.38</v>
      </c>
    </row>
    <row r="132" spans="1:37" x14ac:dyDescent="0.3">
      <c r="A132" s="169">
        <v>45324</v>
      </c>
      <c r="B132" s="159">
        <f t="shared" si="270"/>
        <v>2024</v>
      </c>
      <c r="C132" s="159">
        <f t="shared" si="271"/>
        <v>2</v>
      </c>
      <c r="D132" s="190">
        <f>AVERAGEIFS(data!G:G,data!A:A,'weekly-forecast'!B132,data!B:B,'weekly-forecast'!C132)</f>
        <v>330</v>
      </c>
      <c r="E132" s="190">
        <f>AVERAGEIFS(data!F:F,data!A:A,'weekly-forecast'!B132,data!B:B,'weekly-forecast'!C132)</f>
        <v>310</v>
      </c>
      <c r="F132" s="190">
        <v>187.5</v>
      </c>
      <c r="G132" s="190">
        <v>325</v>
      </c>
      <c r="H132" s="190">
        <v>295</v>
      </c>
      <c r="I132" s="170">
        <v>2.1591999999999998</v>
      </c>
      <c r="J132" s="190">
        <v>81.795714285714297</v>
      </c>
      <c r="K132" s="202"/>
      <c r="L132" s="202"/>
      <c r="M132" s="202"/>
      <c r="N132" s="202"/>
      <c r="O132" s="202"/>
      <c r="P132" s="202"/>
      <c r="Q132" s="171">
        <f t="shared" si="272"/>
        <v>0</v>
      </c>
      <c r="R132" s="171">
        <f t="shared" si="273"/>
        <v>-0.23529411764705882</v>
      </c>
      <c r="S132" s="171">
        <f t="shared" si="274"/>
        <v>0</v>
      </c>
      <c r="T132" s="171">
        <f t="shared" si="275"/>
        <v>-0.1561009927303996</v>
      </c>
      <c r="U132" s="171">
        <f t="shared" si="276"/>
        <v>3.3949112447406109E-2</v>
      </c>
      <c r="V132" s="171">
        <f t="shared" si="347"/>
        <v>0</v>
      </c>
      <c r="W132" s="171">
        <f t="shared" si="277"/>
        <v>0</v>
      </c>
      <c r="X132" s="172">
        <f t="shared" si="255"/>
        <v>4.1666666666666664E-2</v>
      </c>
      <c r="Y132" s="172">
        <f t="shared" si="256"/>
        <v>-0.23529411764705882</v>
      </c>
      <c r="Z132" s="172">
        <f t="shared" si="257"/>
        <v>7.2727272727272724E-2</v>
      </c>
      <c r="AA132" s="172">
        <f t="shared" si="258"/>
        <v>-0.21125114155251157</v>
      </c>
      <c r="AB132" s="172">
        <f t="shared" si="259"/>
        <v>3.3949112447406109E-2</v>
      </c>
      <c r="AC132" s="172">
        <f t="shared" si="325"/>
        <v>0</v>
      </c>
      <c r="AD132" s="172">
        <f t="shared" ref="AD132" si="383">(E132-E136)/E136</f>
        <v>0</v>
      </c>
      <c r="AE132" s="172">
        <f t="shared" si="261"/>
        <v>-0.35344827586206895</v>
      </c>
      <c r="AF132" s="172">
        <f t="shared" si="262"/>
        <v>-0.52898550724637683</v>
      </c>
      <c r="AG132" s="172">
        <f t="shared" si="263"/>
        <v>-0.15107913669064749</v>
      </c>
      <c r="AH132" s="172">
        <f t="shared" si="264"/>
        <v>-0.1495864513588028</v>
      </c>
      <c r="AI132" s="172">
        <f t="shared" si="265"/>
        <v>-2.1962582898821588E-2</v>
      </c>
      <c r="AJ132" s="172">
        <f t="shared" si="327"/>
        <v>-0.3888888888888889</v>
      </c>
      <c r="AK132" s="172">
        <f t="shared" ref="AK132" si="384">(E132-E184)/E184</f>
        <v>-0.38</v>
      </c>
    </row>
    <row r="133" spans="1:37" x14ac:dyDescent="0.3">
      <c r="A133" s="169">
        <v>45317</v>
      </c>
      <c r="B133" s="159">
        <f t="shared" si="270"/>
        <v>2024</v>
      </c>
      <c r="C133" s="159">
        <f t="shared" si="271"/>
        <v>1</v>
      </c>
      <c r="D133" s="190">
        <f>AVERAGEIFS(data!G:G,data!A:A,'weekly-forecast'!B133,data!B:B,'weekly-forecast'!C133)</f>
        <v>330</v>
      </c>
      <c r="E133" s="190">
        <f>AVERAGEIFS(data!F:F,data!A:A,'weekly-forecast'!B133,data!B:B,'weekly-forecast'!C133)</f>
        <v>310</v>
      </c>
      <c r="F133" s="190">
        <v>187.5</v>
      </c>
      <c r="G133" s="190">
        <v>425</v>
      </c>
      <c r="H133" s="190">
        <v>295</v>
      </c>
      <c r="I133" s="170">
        <v>2.5586000000000002</v>
      </c>
      <c r="J133" s="190">
        <v>79.11</v>
      </c>
      <c r="K133" s="200">
        <f>AVERAGE(D133:D136)</f>
        <v>330</v>
      </c>
      <c r="L133" s="200">
        <f t="shared" ref="L133:P133" si="385">AVERAGE(E133:E136)</f>
        <v>310</v>
      </c>
      <c r="M133" s="200">
        <f t="shared" si="385"/>
        <v>181.875</v>
      </c>
      <c r="N133" s="200">
        <f t="shared" si="385"/>
        <v>425</v>
      </c>
      <c r="O133" s="200">
        <f t="shared" si="385"/>
        <v>270</v>
      </c>
      <c r="P133" s="200">
        <f t="shared" si="385"/>
        <v>2.7916000000000003</v>
      </c>
      <c r="Q133" s="171">
        <f t="shared" si="272"/>
        <v>4.1666666666666664E-2</v>
      </c>
      <c r="R133" s="171">
        <f t="shared" si="273"/>
        <v>0</v>
      </c>
      <c r="S133" s="171">
        <f t="shared" si="274"/>
        <v>0.11320754716981132</v>
      </c>
      <c r="T133" s="171">
        <f t="shared" si="275"/>
        <v>-6.841434553067538E-2</v>
      </c>
      <c r="U133" s="171">
        <f t="shared" si="276"/>
        <v>0</v>
      </c>
      <c r="V133" s="171">
        <f t="shared" si="347"/>
        <v>0</v>
      </c>
      <c r="W133" s="171">
        <f t="shared" si="277"/>
        <v>0</v>
      </c>
      <c r="X133" s="172">
        <f t="shared" si="255"/>
        <v>4.1666666666666664E-2</v>
      </c>
      <c r="Y133" s="172">
        <f t="shared" si="256"/>
        <v>0</v>
      </c>
      <c r="Z133" s="172">
        <f t="shared" si="257"/>
        <v>7.2727272727272724E-2</v>
      </c>
      <c r="AA133" s="172">
        <f t="shared" si="258"/>
        <v>-5.4687499999976641E-4</v>
      </c>
      <c r="AB133" s="172">
        <f t="shared" si="259"/>
        <v>2.0235083151145992E-2</v>
      </c>
      <c r="AC133" s="172">
        <f t="shared" si="325"/>
        <v>0</v>
      </c>
      <c r="AD133" s="172">
        <f t="shared" ref="AD133" si="386">(E133-E137)/E137</f>
        <v>3.3333333333333333E-2</v>
      </c>
      <c r="AE133" s="172">
        <f t="shared" si="261"/>
        <v>-0.35344827586206895</v>
      </c>
      <c r="AF133" s="172">
        <f t="shared" si="262"/>
        <v>-0.39285714285714285</v>
      </c>
      <c r="AG133" s="172">
        <f t="shared" si="263"/>
        <v>-0.22875816993464052</v>
      </c>
      <c r="AH133" s="172">
        <f t="shared" si="264"/>
        <v>-0.19159557661927323</v>
      </c>
      <c r="AI133" s="172">
        <f t="shared" si="265"/>
        <v>-5.913071683425232E-2</v>
      </c>
      <c r="AJ133" s="172">
        <f t="shared" si="327"/>
        <v>-0.4</v>
      </c>
      <c r="AK133" s="172">
        <f t="shared" ref="AK133" si="387">(E133-E185)/E185</f>
        <v>-0.38</v>
      </c>
    </row>
    <row r="134" spans="1:37" x14ac:dyDescent="0.3">
      <c r="A134" s="169">
        <v>45310</v>
      </c>
      <c r="B134" s="159">
        <f t="shared" si="270"/>
        <v>2024</v>
      </c>
      <c r="C134" s="159">
        <f t="shared" si="271"/>
        <v>1</v>
      </c>
      <c r="D134" s="190">
        <f>AVERAGEIFS(data!G:G,data!A:A,'weekly-forecast'!B134,data!B:B,'weekly-forecast'!C134)</f>
        <v>330</v>
      </c>
      <c r="E134" s="190">
        <f>AVERAGEIFS(data!F:F,data!A:A,'weekly-forecast'!B134,data!B:B,'weekly-forecast'!C134)</f>
        <v>310</v>
      </c>
      <c r="F134" s="190">
        <v>180</v>
      </c>
      <c r="G134" s="190">
        <v>425</v>
      </c>
      <c r="H134" s="190">
        <v>265</v>
      </c>
      <c r="I134" s="170">
        <v>2.7465000000000002</v>
      </c>
      <c r="J134" s="190">
        <v>79.11</v>
      </c>
      <c r="K134" s="201"/>
      <c r="L134" s="201"/>
      <c r="M134" s="201"/>
      <c r="N134" s="201"/>
      <c r="O134" s="201"/>
      <c r="P134" s="201"/>
      <c r="Q134" s="171">
        <f t="shared" si="272"/>
        <v>0</v>
      </c>
      <c r="R134" s="171">
        <f t="shared" si="273"/>
        <v>0</v>
      </c>
      <c r="S134" s="171">
        <f t="shared" si="274"/>
        <v>8.1632653061224483E-2</v>
      </c>
      <c r="T134" s="171">
        <f t="shared" si="275"/>
        <v>-0.12078238043408668</v>
      </c>
      <c r="U134" s="171">
        <f t="shared" si="276"/>
        <v>0</v>
      </c>
      <c r="V134" s="171">
        <f t="shared" si="347"/>
        <v>0</v>
      </c>
      <c r="W134" s="171">
        <f t="shared" si="277"/>
        <v>0</v>
      </c>
      <c r="X134" s="172">
        <f t="shared" si="255"/>
        <v>0</v>
      </c>
      <c r="Y134" s="172">
        <f t="shared" si="256"/>
        <v>0</v>
      </c>
      <c r="Z134" s="172">
        <f t="shared" si="257"/>
        <v>-3.6363636363636362E-2</v>
      </c>
      <c r="AA134" s="172">
        <f t="shared" si="258"/>
        <v>8.7808935361216825E-2</v>
      </c>
      <c r="AB134" s="172">
        <f t="shared" si="259"/>
        <v>2.0235083151145992E-2</v>
      </c>
      <c r="AC134" s="172">
        <f t="shared" si="325"/>
        <v>0</v>
      </c>
      <c r="AD134" s="172">
        <f t="shared" ref="AD134" si="388">(E134-E138)/E138</f>
        <v>3.3333333333333333E-2</v>
      </c>
      <c r="AE134" s="172">
        <f t="shared" si="261"/>
        <v>-0.52</v>
      </c>
      <c r="AF134" s="172">
        <f t="shared" si="262"/>
        <v>-0.50867052023121384</v>
      </c>
      <c r="AG134" s="172">
        <f t="shared" si="263"/>
        <v>-0.36904761904761907</v>
      </c>
      <c r="AH134" s="172">
        <f t="shared" si="264"/>
        <v>-0.1768320095908886</v>
      </c>
      <c r="AI134" s="172">
        <f t="shared" si="265"/>
        <v>-5.913071683425232E-2</v>
      </c>
      <c r="AJ134" s="172">
        <f t="shared" si="327"/>
        <v>-0.4</v>
      </c>
      <c r="AK134" s="172">
        <f t="shared" ref="AK134" si="389">(E134-E186)/E186</f>
        <v>-0.38</v>
      </c>
    </row>
    <row r="135" spans="1:37" x14ac:dyDescent="0.3">
      <c r="A135" s="169">
        <v>45303</v>
      </c>
      <c r="B135" s="159">
        <f t="shared" si="270"/>
        <v>2024</v>
      </c>
      <c r="C135" s="159">
        <f t="shared" si="271"/>
        <v>1</v>
      </c>
      <c r="D135" s="190">
        <f>AVERAGEIFS(data!G:G,data!A:A,'weekly-forecast'!B135,data!B:B,'weekly-forecast'!C135)</f>
        <v>330</v>
      </c>
      <c r="E135" s="190">
        <f>AVERAGEIFS(data!F:F,data!A:A,'weekly-forecast'!B135,data!B:B,'weekly-forecast'!C135)</f>
        <v>310</v>
      </c>
      <c r="F135" s="190">
        <v>180</v>
      </c>
      <c r="G135" s="190">
        <v>425</v>
      </c>
      <c r="H135" s="190">
        <v>245</v>
      </c>
      <c r="I135" s="170">
        <v>3.1238000000000001</v>
      </c>
      <c r="J135" s="190">
        <v>79.11</v>
      </c>
      <c r="K135" s="201"/>
      <c r="L135" s="201"/>
      <c r="M135" s="201"/>
      <c r="N135" s="201"/>
      <c r="O135" s="201"/>
      <c r="P135" s="201"/>
      <c r="Q135" s="171">
        <f t="shared" si="272"/>
        <v>0</v>
      </c>
      <c r="R135" s="171">
        <f t="shared" si="273"/>
        <v>0</v>
      </c>
      <c r="S135" s="171">
        <f t="shared" si="274"/>
        <v>-0.10909090909090909</v>
      </c>
      <c r="T135" s="171">
        <f t="shared" si="275"/>
        <v>0.14111415525114149</v>
      </c>
      <c r="U135" s="171">
        <f t="shared" si="276"/>
        <v>0</v>
      </c>
      <c r="V135" s="171">
        <f t="shared" si="347"/>
        <v>0</v>
      </c>
      <c r="W135" s="171">
        <f t="shared" si="277"/>
        <v>0</v>
      </c>
      <c r="X135" s="172">
        <f t="shared" si="255"/>
        <v>4.3478260869565216E-2</v>
      </c>
      <c r="Y135" s="172">
        <f t="shared" si="256"/>
        <v>0</v>
      </c>
      <c r="Z135" s="172">
        <f t="shared" si="257"/>
        <v>-0.1623931623931624</v>
      </c>
      <c r="AA135" s="172">
        <f t="shared" si="258"/>
        <v>0.30593645484949822</v>
      </c>
      <c r="AB135" s="172">
        <f t="shared" si="259"/>
        <v>2.0235083151145992E-2</v>
      </c>
      <c r="AC135" s="172">
        <f t="shared" si="325"/>
        <v>0</v>
      </c>
      <c r="AD135" s="172">
        <f t="shared" ref="AD135" si="390">(E135-E139)/E139</f>
        <v>3.3333333333333333E-2</v>
      </c>
      <c r="AE135" s="172">
        <f t="shared" si="261"/>
        <v>-0.52</v>
      </c>
      <c r="AF135" s="172">
        <f t="shared" si="262"/>
        <v>-0.50867052023121384</v>
      </c>
      <c r="AG135" s="172">
        <f t="shared" si="263"/>
        <v>-0.36774193548387096</v>
      </c>
      <c r="AH135" s="172">
        <f t="shared" si="264"/>
        <v>-0.14808552416275764</v>
      </c>
      <c r="AI135" s="172">
        <f t="shared" si="265"/>
        <v>-5.913071683425232E-2</v>
      </c>
      <c r="AJ135" s="172">
        <f t="shared" si="327"/>
        <v>-0.4</v>
      </c>
      <c r="AK135" s="172">
        <f t="shared" ref="AK135" si="391">(E135-E187)/E187</f>
        <v>-0.38</v>
      </c>
    </row>
    <row r="136" spans="1:37" x14ac:dyDescent="0.3">
      <c r="A136" s="169">
        <v>45296</v>
      </c>
      <c r="B136" s="159">
        <f t="shared" si="270"/>
        <v>2024</v>
      </c>
      <c r="C136" s="159">
        <f t="shared" si="271"/>
        <v>1</v>
      </c>
      <c r="D136" s="190">
        <f>AVERAGEIFS(data!G:G,data!A:A,'weekly-forecast'!B136,data!B:B,'weekly-forecast'!C136)</f>
        <v>330</v>
      </c>
      <c r="E136" s="190">
        <f>AVERAGEIFS(data!F:F,data!A:A,'weekly-forecast'!B136,data!B:B,'weekly-forecast'!C136)</f>
        <v>310</v>
      </c>
      <c r="F136" s="190">
        <v>180</v>
      </c>
      <c r="G136" s="190">
        <v>425</v>
      </c>
      <c r="H136" s="190">
        <v>275</v>
      </c>
      <c r="I136" s="170">
        <v>2.7375000000000003</v>
      </c>
      <c r="J136" s="190">
        <v>79.11</v>
      </c>
      <c r="K136" s="202"/>
      <c r="L136" s="202"/>
      <c r="M136" s="202"/>
      <c r="N136" s="202"/>
      <c r="O136" s="202"/>
      <c r="P136" s="202"/>
      <c r="Q136" s="171">
        <f t="shared" si="272"/>
        <v>0</v>
      </c>
      <c r="R136" s="171">
        <f t="shared" si="273"/>
        <v>0</v>
      </c>
      <c r="S136" s="171">
        <f t="shared" si="274"/>
        <v>0</v>
      </c>
      <c r="T136" s="171">
        <f t="shared" si="275"/>
        <v>6.9335937500000264E-2</v>
      </c>
      <c r="U136" s="171">
        <f t="shared" si="276"/>
        <v>2.0235083151145992E-2</v>
      </c>
      <c r="V136" s="171">
        <f t="shared" si="347"/>
        <v>0</v>
      </c>
      <c r="W136" s="171">
        <f t="shared" si="277"/>
        <v>3.3333333333333333E-2</v>
      </c>
      <c r="X136" s="172">
        <f t="shared" si="255"/>
        <v>4.3478260869565216E-2</v>
      </c>
      <c r="Y136" s="172">
        <f t="shared" si="256"/>
        <v>-0.1326530612244898</v>
      </c>
      <c r="Z136" s="172">
        <f t="shared" si="257"/>
        <v>-3.5087719298245612E-2</v>
      </c>
      <c r="AA136" s="172">
        <f t="shared" si="258"/>
        <v>4.174594718015092E-2</v>
      </c>
      <c r="AB136" s="172">
        <f t="shared" si="259"/>
        <v>2.0235083151145992E-2</v>
      </c>
      <c r="AC136" s="172">
        <f t="shared" si="325"/>
        <v>0</v>
      </c>
      <c r="AD136" s="172">
        <f t="shared" ref="AD136" si="392">(E136-E140)/E140</f>
        <v>3.3333333333333333E-2</v>
      </c>
      <c r="AE136" s="172">
        <f t="shared" si="261"/>
        <v>-0.52</v>
      </c>
      <c r="AF136" s="172">
        <f t="shared" si="262"/>
        <v>-0.50292397660818711</v>
      </c>
      <c r="AG136" s="172">
        <f t="shared" si="263"/>
        <v>-0.4329896907216495</v>
      </c>
      <c r="AH136" s="172">
        <f t="shared" si="264"/>
        <v>-0.29762668377164841</v>
      </c>
      <c r="AI136" s="172">
        <f t="shared" si="265"/>
        <v>-5.913071683425232E-2</v>
      </c>
      <c r="AJ136" s="172">
        <f t="shared" si="327"/>
        <v>-0.4</v>
      </c>
      <c r="AK136" s="172">
        <f t="shared" ref="AK136" si="393">(E136-E188)/E188</f>
        <v>-0.38</v>
      </c>
    </row>
    <row r="137" spans="1:37" x14ac:dyDescent="0.3">
      <c r="A137" s="169">
        <v>45289</v>
      </c>
      <c r="B137" s="159">
        <f t="shared" si="270"/>
        <v>2023</v>
      </c>
      <c r="C137" s="159">
        <f t="shared" si="271"/>
        <v>12</v>
      </c>
      <c r="D137" s="190">
        <f>AVERAGEIFS(data!G:G,data!A:A,'weekly-forecast'!B137,data!B:B,'weekly-forecast'!C137)</f>
        <v>330</v>
      </c>
      <c r="E137" s="190">
        <f>AVERAGEIFS(data!F:F,data!A:A,'weekly-forecast'!B137,data!B:B,'weekly-forecast'!C137)</f>
        <v>300</v>
      </c>
      <c r="F137" s="190">
        <v>180</v>
      </c>
      <c r="G137" s="190">
        <v>425</v>
      </c>
      <c r="H137" s="190">
        <v>275</v>
      </c>
      <c r="I137" s="170">
        <v>2.5599999999999996</v>
      </c>
      <c r="J137" s="190">
        <v>77.540952380952376</v>
      </c>
      <c r="K137" s="200">
        <f>AVERAGE(D137:D141)</f>
        <v>330</v>
      </c>
      <c r="L137" s="200">
        <f t="shared" ref="L137:P137" si="394">AVERAGE(E137:E141)</f>
        <v>300</v>
      </c>
      <c r="M137" s="200">
        <f t="shared" si="394"/>
        <v>176.5</v>
      </c>
      <c r="N137" s="200">
        <f t="shared" si="394"/>
        <v>463</v>
      </c>
      <c r="O137" s="200">
        <f t="shared" si="394"/>
        <v>282.5</v>
      </c>
      <c r="P137" s="200">
        <f t="shared" si="394"/>
        <v>2.5777200000000002</v>
      </c>
      <c r="Q137" s="171">
        <f t="shared" si="272"/>
        <v>0</v>
      </c>
      <c r="R137" s="171">
        <f t="shared" si="273"/>
        <v>0</v>
      </c>
      <c r="S137" s="171">
        <f t="shared" si="274"/>
        <v>0</v>
      </c>
      <c r="T137" s="171">
        <f t="shared" si="275"/>
        <v>1.3941698352344612E-2</v>
      </c>
      <c r="U137" s="171">
        <f t="shared" si="276"/>
        <v>0</v>
      </c>
      <c r="V137" s="171">
        <f t="shared" si="347"/>
        <v>0</v>
      </c>
      <c r="W137" s="171">
        <f t="shared" si="277"/>
        <v>0</v>
      </c>
      <c r="X137" s="172">
        <f t="shared" si="255"/>
        <v>1.4084507042253521E-2</v>
      </c>
      <c r="Y137" s="172">
        <f t="shared" si="256"/>
        <v>-0.22727272727272727</v>
      </c>
      <c r="Z137" s="172">
        <f t="shared" si="257"/>
        <v>-3.5087719298245612E-2</v>
      </c>
      <c r="AA137" s="172">
        <f t="shared" si="258"/>
        <v>-8.0459770114942611E-2</v>
      </c>
      <c r="AB137" s="172">
        <f t="shared" si="259"/>
        <v>0</v>
      </c>
      <c r="AC137" s="172">
        <f t="shared" si="325"/>
        <v>0</v>
      </c>
      <c r="AD137" s="172">
        <f t="shared" ref="AD137" si="395">(E137-E141)/E141</f>
        <v>0</v>
      </c>
      <c r="AE137" s="172">
        <f t="shared" si="261"/>
        <v>-0.52</v>
      </c>
      <c r="AF137" s="172">
        <f t="shared" si="262"/>
        <v>-0.50292397660818711</v>
      </c>
      <c r="AG137" s="172">
        <f t="shared" si="263"/>
        <v>-0.4329896907216495</v>
      </c>
      <c r="AH137" s="172">
        <f t="shared" si="264"/>
        <v>-0.46176084099868597</v>
      </c>
      <c r="AI137" s="172">
        <f t="shared" si="265"/>
        <v>-4.8614414171810172E-2</v>
      </c>
      <c r="AJ137" s="172">
        <f t="shared" si="327"/>
        <v>-0.3888888888888889</v>
      </c>
      <c r="AK137" s="172">
        <f t="shared" ref="AK137" si="396">(E137-E189)/E189</f>
        <v>-0.4</v>
      </c>
    </row>
    <row r="138" spans="1:37" x14ac:dyDescent="0.3">
      <c r="A138" s="169">
        <v>45282</v>
      </c>
      <c r="B138" s="159">
        <f t="shared" si="270"/>
        <v>2023</v>
      </c>
      <c r="C138" s="159">
        <f t="shared" si="271"/>
        <v>12</v>
      </c>
      <c r="D138" s="190">
        <f>AVERAGEIFS(data!G:G,data!A:A,'weekly-forecast'!B138,data!B:B,'weekly-forecast'!C138)</f>
        <v>330</v>
      </c>
      <c r="E138" s="190">
        <f>AVERAGEIFS(data!F:F,data!A:A,'weekly-forecast'!B138,data!B:B,'weekly-forecast'!C138)</f>
        <v>300</v>
      </c>
      <c r="F138" s="190">
        <v>180</v>
      </c>
      <c r="G138" s="190">
        <v>425</v>
      </c>
      <c r="H138" s="190">
        <v>275</v>
      </c>
      <c r="I138" s="170">
        <v>2.5247999999999999</v>
      </c>
      <c r="J138" s="190">
        <v>77.540952380952376</v>
      </c>
      <c r="K138" s="201"/>
      <c r="L138" s="201"/>
      <c r="M138" s="201"/>
      <c r="N138" s="201"/>
      <c r="O138" s="201"/>
      <c r="P138" s="201"/>
      <c r="Q138" s="171">
        <f t="shared" si="272"/>
        <v>4.3478260869565216E-2</v>
      </c>
      <c r="R138" s="171">
        <f t="shared" si="273"/>
        <v>0</v>
      </c>
      <c r="S138" s="171">
        <f t="shared" si="274"/>
        <v>-5.9829059829059832E-2</v>
      </c>
      <c r="T138" s="171">
        <f t="shared" si="275"/>
        <v>5.5518394648829253E-2</v>
      </c>
      <c r="U138" s="171">
        <f t="shared" si="276"/>
        <v>0</v>
      </c>
      <c r="V138" s="171">
        <f t="shared" si="347"/>
        <v>0</v>
      </c>
      <c r="W138" s="171">
        <f t="shared" si="277"/>
        <v>0</v>
      </c>
      <c r="X138" s="172">
        <f t="shared" si="255"/>
        <v>-7.4550128534704371E-2</v>
      </c>
      <c r="Y138" s="172">
        <f t="shared" si="256"/>
        <v>-0.22727272727272727</v>
      </c>
      <c r="Z138" s="172">
        <f t="shared" si="257"/>
        <v>-0.16666666666666666</v>
      </c>
      <c r="AA138" s="172">
        <f t="shared" si="258"/>
        <v>-0.12027874564459923</v>
      </c>
      <c r="AB138" s="172">
        <f t="shared" si="259"/>
        <v>-5.6522895646837976E-2</v>
      </c>
      <c r="AC138" s="172">
        <f t="shared" si="325"/>
        <v>0.17857142857142858</v>
      </c>
      <c r="AD138" s="172">
        <f t="shared" ref="AD138" si="397">(E138-E142)/E142</f>
        <v>0</v>
      </c>
      <c r="AE138" s="172">
        <f t="shared" si="261"/>
        <v>-0.49579831932773111</v>
      </c>
      <c r="AF138" s="172">
        <f t="shared" si="262"/>
        <v>-0.50867052023121384</v>
      </c>
      <c r="AG138" s="172">
        <f t="shared" si="263"/>
        <v>-0.4329896907216495</v>
      </c>
      <c r="AH138" s="172">
        <f t="shared" si="264"/>
        <v>-0.52518147967051565</v>
      </c>
      <c r="AI138" s="172">
        <f t="shared" si="265"/>
        <v>-4.8614414171810172E-2</v>
      </c>
      <c r="AJ138" s="172">
        <f t="shared" si="327"/>
        <v>-0.3888888888888889</v>
      </c>
      <c r="AK138" s="172">
        <f t="shared" ref="AK138" si="398">(E138-E190)/E190</f>
        <v>-0.4</v>
      </c>
    </row>
    <row r="139" spans="1:37" x14ac:dyDescent="0.3">
      <c r="A139" s="169">
        <v>45275</v>
      </c>
      <c r="B139" s="159">
        <f t="shared" si="270"/>
        <v>2023</v>
      </c>
      <c r="C139" s="159">
        <f t="shared" si="271"/>
        <v>12</v>
      </c>
      <c r="D139" s="190">
        <f>AVERAGEIFS(data!G:G,data!A:A,'weekly-forecast'!B139,data!B:B,'weekly-forecast'!C139)</f>
        <v>330</v>
      </c>
      <c r="E139" s="190">
        <f>AVERAGEIFS(data!F:F,data!A:A,'weekly-forecast'!B139,data!B:B,'weekly-forecast'!C139)</f>
        <v>300</v>
      </c>
      <c r="F139" s="190">
        <v>172.5</v>
      </c>
      <c r="G139" s="190">
        <v>425</v>
      </c>
      <c r="H139" s="190">
        <v>292.5</v>
      </c>
      <c r="I139" s="170">
        <v>2.3920000000000003</v>
      </c>
      <c r="J139" s="190">
        <v>77.540952380952376</v>
      </c>
      <c r="K139" s="201"/>
      <c r="L139" s="201"/>
      <c r="M139" s="201"/>
      <c r="N139" s="201"/>
      <c r="O139" s="201"/>
      <c r="P139" s="201"/>
      <c r="Q139" s="171">
        <f t="shared" si="272"/>
        <v>0</v>
      </c>
      <c r="R139" s="171">
        <f t="shared" si="273"/>
        <v>-0.1326530612244898</v>
      </c>
      <c r="S139" s="171">
        <f t="shared" si="274"/>
        <v>2.6315789473684209E-2</v>
      </c>
      <c r="T139" s="171">
        <f t="shared" si="275"/>
        <v>-8.9732856381763967E-2</v>
      </c>
      <c r="U139" s="171">
        <f t="shared" si="276"/>
        <v>0</v>
      </c>
      <c r="V139" s="171">
        <f t="shared" si="347"/>
        <v>0</v>
      </c>
      <c r="W139" s="171">
        <f t="shared" si="277"/>
        <v>0</v>
      </c>
      <c r="X139" s="172">
        <f t="shared" si="255"/>
        <v>-0.11311053984575835</v>
      </c>
      <c r="Y139" s="172">
        <f t="shared" si="256"/>
        <v>-0.22727272727272727</v>
      </c>
      <c r="Z139" s="172">
        <f t="shared" si="257"/>
        <v>-0.11363636363636363</v>
      </c>
      <c r="AA139" s="172">
        <f t="shared" si="258"/>
        <v>-0.22913309700290035</v>
      </c>
      <c r="AB139" s="172">
        <f t="shared" si="259"/>
        <v>-5.6522895646837976E-2</v>
      </c>
      <c r="AC139" s="172">
        <f t="shared" ref="AC139:AC170" si="399">(D139-D143)/D143</f>
        <v>0.17857142857142858</v>
      </c>
      <c r="AD139" s="172">
        <f t="shared" ref="AD139" si="400">(E139-E143)/E143</f>
        <v>0</v>
      </c>
      <c r="AE139" s="172">
        <f t="shared" si="261"/>
        <v>-0.57875457875457881</v>
      </c>
      <c r="AF139" s="172">
        <f t="shared" si="262"/>
        <v>-0.50867052023121384</v>
      </c>
      <c r="AG139" s="172">
        <f t="shared" si="263"/>
        <v>-0.39690721649484534</v>
      </c>
      <c r="AH139" s="172">
        <f t="shared" si="264"/>
        <v>-0.64321937831871601</v>
      </c>
      <c r="AI139" s="172">
        <f t="shared" si="265"/>
        <v>-4.8614414171810172E-2</v>
      </c>
      <c r="AJ139" s="172">
        <f t="shared" ref="AJ139:AJ158" si="401">(D139-D191)/D191</f>
        <v>-0.3888888888888889</v>
      </c>
      <c r="AK139" s="172">
        <f t="shared" ref="AK139" si="402">(E139-E191)/E191</f>
        <v>-0.4</v>
      </c>
    </row>
    <row r="140" spans="1:37" x14ac:dyDescent="0.3">
      <c r="A140" s="169">
        <v>45268</v>
      </c>
      <c r="B140" s="159">
        <f t="shared" si="270"/>
        <v>2023</v>
      </c>
      <c r="C140" s="159">
        <f t="shared" si="271"/>
        <v>12</v>
      </c>
      <c r="D140" s="190">
        <f>AVERAGEIFS(data!G:G,data!A:A,'weekly-forecast'!B140,data!B:B,'weekly-forecast'!C140)</f>
        <v>330</v>
      </c>
      <c r="E140" s="190">
        <f>AVERAGEIFS(data!F:F,data!A:A,'weekly-forecast'!B140,data!B:B,'weekly-forecast'!C140)</f>
        <v>300</v>
      </c>
      <c r="F140" s="190">
        <v>172.5</v>
      </c>
      <c r="G140" s="190">
        <v>490</v>
      </c>
      <c r="H140" s="190">
        <v>285</v>
      </c>
      <c r="I140" s="170">
        <v>2.6277999999999997</v>
      </c>
      <c r="J140" s="190">
        <v>77.540952380952376</v>
      </c>
      <c r="K140" s="201"/>
      <c r="L140" s="201"/>
      <c r="M140" s="201"/>
      <c r="N140" s="201"/>
      <c r="O140" s="201"/>
      <c r="P140" s="201"/>
      <c r="Q140" s="171">
        <f t="shared" si="272"/>
        <v>-2.8169014084507043E-2</v>
      </c>
      <c r="R140" s="171">
        <f t="shared" si="273"/>
        <v>-0.10909090909090909</v>
      </c>
      <c r="S140" s="171">
        <f t="shared" si="274"/>
        <v>0</v>
      </c>
      <c r="T140" s="171">
        <f t="shared" si="275"/>
        <v>-5.6106321839080507E-2</v>
      </c>
      <c r="U140" s="171">
        <f t="shared" si="276"/>
        <v>0</v>
      </c>
      <c r="V140" s="171">
        <f t="shared" si="347"/>
        <v>0</v>
      </c>
      <c r="W140" s="171">
        <f t="shared" si="277"/>
        <v>0</v>
      </c>
      <c r="X140" s="172">
        <f t="shared" si="255"/>
        <v>-0.11311053984575835</v>
      </c>
      <c r="Y140" s="172">
        <f t="shared" si="256"/>
        <v>-0.10909090909090909</v>
      </c>
      <c r="Z140" s="172">
        <f t="shared" si="257"/>
        <v>-0.18571428571428572</v>
      </c>
      <c r="AA140" s="172">
        <f t="shared" si="258"/>
        <v>-0.15689168377823418</v>
      </c>
      <c r="AB140" s="172">
        <f t="shared" si="259"/>
        <v>-5.6522895646837976E-2</v>
      </c>
      <c r="AC140" s="172">
        <f t="shared" si="399"/>
        <v>0.17857142857142858</v>
      </c>
      <c r="AD140" s="172">
        <f t="shared" ref="AD140" si="403">(E140-E144)/E144</f>
        <v>0</v>
      </c>
      <c r="AE140" s="172">
        <f t="shared" si="261"/>
        <v>-0.57875457875457881</v>
      </c>
      <c r="AF140" s="172">
        <f t="shared" si="262"/>
        <v>-0.43352601156069365</v>
      </c>
      <c r="AG140" s="172">
        <f t="shared" si="263"/>
        <v>-0.41237113402061853</v>
      </c>
      <c r="AH140" s="172">
        <f t="shared" si="264"/>
        <v>-0.54655577029265601</v>
      </c>
      <c r="AI140" s="172">
        <f t="shared" si="265"/>
        <v>-4.8614414171810172E-2</v>
      </c>
      <c r="AJ140" s="172">
        <f t="shared" si="401"/>
        <v>-0.3888888888888889</v>
      </c>
      <c r="AK140" s="172">
        <f t="shared" ref="AK140" si="404">(E140-E192)/E192</f>
        <v>-0.4</v>
      </c>
    </row>
    <row r="141" spans="1:37" x14ac:dyDescent="0.3">
      <c r="A141" s="169">
        <v>45261</v>
      </c>
      <c r="B141" s="159">
        <f t="shared" si="270"/>
        <v>2023</v>
      </c>
      <c r="C141" s="159">
        <f t="shared" si="271"/>
        <v>12</v>
      </c>
      <c r="D141" s="190">
        <f>AVERAGEIFS(data!G:G,data!A:A,'weekly-forecast'!B141,data!B:B,'weekly-forecast'!C141)</f>
        <v>330</v>
      </c>
      <c r="E141" s="190">
        <f>AVERAGEIFS(data!F:F,data!A:A,'weekly-forecast'!B141,data!B:B,'weekly-forecast'!C141)</f>
        <v>300</v>
      </c>
      <c r="F141" s="190">
        <v>177.5</v>
      </c>
      <c r="G141" s="190">
        <v>550</v>
      </c>
      <c r="H141" s="190">
        <v>285</v>
      </c>
      <c r="I141" s="170">
        <v>2.7839999999999998</v>
      </c>
      <c r="J141" s="190">
        <v>77.540952380952376</v>
      </c>
      <c r="K141" s="202"/>
      <c r="L141" s="202"/>
      <c r="M141" s="202"/>
      <c r="N141" s="202"/>
      <c r="O141" s="202"/>
      <c r="P141" s="202"/>
      <c r="Q141" s="171">
        <f t="shared" si="272"/>
        <v>-8.7403598971722368E-2</v>
      </c>
      <c r="R141" s="171">
        <f t="shared" si="273"/>
        <v>0</v>
      </c>
      <c r="S141" s="171">
        <f t="shared" si="274"/>
        <v>-0.13636363636363635</v>
      </c>
      <c r="T141" s="171">
        <f t="shared" si="275"/>
        <v>-2.9965156794425039E-2</v>
      </c>
      <c r="U141" s="171">
        <f t="shared" si="276"/>
        <v>-5.6522895646837976E-2</v>
      </c>
      <c r="V141" s="171">
        <f t="shared" si="347"/>
        <v>0.17857142857142858</v>
      </c>
      <c r="W141" s="171">
        <f t="shared" si="277"/>
        <v>0</v>
      </c>
      <c r="X141" s="172">
        <f t="shared" si="255"/>
        <v>-0.12345679012345678</v>
      </c>
      <c r="Y141" s="172">
        <f t="shared" si="256"/>
        <v>0</v>
      </c>
      <c r="Z141" s="172">
        <f t="shared" si="257"/>
        <v>-0.20279720279720279</v>
      </c>
      <c r="AA141" s="172">
        <f t="shared" si="258"/>
        <v>-0.20036764705882365</v>
      </c>
      <c r="AB141" s="172">
        <f t="shared" si="259"/>
        <v>-5.6522895646837976E-2</v>
      </c>
      <c r="AC141" s="172">
        <f t="shared" si="399"/>
        <v>0.17857142857142858</v>
      </c>
      <c r="AD141" s="172">
        <f t="shared" ref="AD141" si="405">(E141-E145)/E145</f>
        <v>0</v>
      </c>
      <c r="AE141" s="172">
        <f t="shared" si="261"/>
        <v>-0.54719387755102045</v>
      </c>
      <c r="AF141" s="172">
        <f t="shared" si="262"/>
        <v>-0.46210268948655259</v>
      </c>
      <c r="AG141" s="172">
        <f t="shared" si="263"/>
        <v>-0.44927536231884058</v>
      </c>
      <c r="AH141" s="172">
        <f t="shared" si="264"/>
        <v>-0.58933207458107151</v>
      </c>
      <c r="AI141" s="172">
        <f t="shared" si="265"/>
        <v>-4.8614414171810172E-2</v>
      </c>
      <c r="AJ141" s="172">
        <f t="shared" si="401"/>
        <v>-0.3888888888888889</v>
      </c>
      <c r="AK141" s="172">
        <f t="shared" ref="AK141" si="406">(E141-E193)/E193</f>
        <v>-0.4</v>
      </c>
    </row>
    <row r="142" spans="1:37" x14ac:dyDescent="0.3">
      <c r="A142" s="169">
        <v>45254</v>
      </c>
      <c r="B142" s="159">
        <f t="shared" si="270"/>
        <v>2023</v>
      </c>
      <c r="C142" s="159">
        <f t="shared" si="271"/>
        <v>11</v>
      </c>
      <c r="D142" s="190">
        <f>AVERAGEIFS(data!G:G,data!A:A,'weekly-forecast'!B142,data!B:B,'weekly-forecast'!C142)</f>
        <v>280</v>
      </c>
      <c r="E142" s="190">
        <f>AVERAGEIFS(data!F:F,data!A:A,'weekly-forecast'!B142,data!B:B,'weekly-forecast'!C142)</f>
        <v>300</v>
      </c>
      <c r="F142" s="190">
        <v>194.5</v>
      </c>
      <c r="G142" s="190">
        <v>550</v>
      </c>
      <c r="H142" s="190">
        <v>330</v>
      </c>
      <c r="I142" s="170">
        <v>2.8699999999999997</v>
      </c>
      <c r="J142" s="190">
        <v>82.186363636363637</v>
      </c>
      <c r="K142" s="200">
        <f>AVERAGE(D142:D145)</f>
        <v>280</v>
      </c>
      <c r="L142" s="200">
        <f t="shared" ref="L142:P142" si="407">AVERAGE(E142:E145)</f>
        <v>300</v>
      </c>
      <c r="M142" s="200">
        <f t="shared" si="407"/>
        <v>196.5</v>
      </c>
      <c r="N142" s="200">
        <f t="shared" si="407"/>
        <v>550</v>
      </c>
      <c r="O142" s="200">
        <f t="shared" si="407"/>
        <v>341.875</v>
      </c>
      <c r="P142" s="200">
        <f t="shared" si="407"/>
        <v>3.1428500000000001</v>
      </c>
      <c r="Q142" s="171">
        <f t="shared" si="272"/>
        <v>0</v>
      </c>
      <c r="R142" s="171">
        <f t="shared" si="273"/>
        <v>0</v>
      </c>
      <c r="S142" s="171">
        <f t="shared" si="274"/>
        <v>0</v>
      </c>
      <c r="T142" s="171">
        <f t="shared" si="275"/>
        <v>-7.5088623912343069E-2</v>
      </c>
      <c r="U142" s="171">
        <f t="shared" si="276"/>
        <v>0</v>
      </c>
      <c r="V142" s="171">
        <f t="shared" si="347"/>
        <v>0</v>
      </c>
      <c r="W142" s="171">
        <f t="shared" si="277"/>
        <v>0</v>
      </c>
      <c r="X142" s="172">
        <f t="shared" si="255"/>
        <v>-6.2650602409638559E-2</v>
      </c>
      <c r="Y142" s="172">
        <f t="shared" si="256"/>
        <v>0</v>
      </c>
      <c r="Z142" s="172">
        <f t="shared" si="257"/>
        <v>-4.3478260869565216E-2</v>
      </c>
      <c r="AA142" s="172">
        <f t="shared" si="258"/>
        <v>-6.1171082760876766E-2</v>
      </c>
      <c r="AB142" s="172">
        <f t="shared" si="259"/>
        <v>-7.601502414594874E-2</v>
      </c>
      <c r="AC142" s="172">
        <f t="shared" si="399"/>
        <v>0</v>
      </c>
      <c r="AD142" s="172">
        <f t="shared" ref="AD142" si="408">(E142-E146)/E146</f>
        <v>0.2</v>
      </c>
      <c r="AE142" s="172">
        <f t="shared" si="261"/>
        <v>-0.50382653061224492</v>
      </c>
      <c r="AF142" s="172">
        <f t="shared" si="262"/>
        <v>-0.46210268948655259</v>
      </c>
      <c r="AG142" s="172">
        <f t="shared" si="263"/>
        <v>-0.36231884057971014</v>
      </c>
      <c r="AH142" s="172">
        <f t="shared" si="264"/>
        <v>-0.58833865241868988</v>
      </c>
      <c r="AI142" s="172">
        <f t="shared" si="265"/>
        <v>-9.624372079074299E-2</v>
      </c>
      <c r="AJ142" s="172">
        <f t="shared" si="401"/>
        <v>-0.49090909090909091</v>
      </c>
      <c r="AK142" s="172">
        <f t="shared" ref="AK142" si="409">(E142-E194)/E194</f>
        <v>-0.4</v>
      </c>
    </row>
    <row r="143" spans="1:37" x14ac:dyDescent="0.3">
      <c r="A143" s="169">
        <v>45247</v>
      </c>
      <c r="B143" s="159">
        <f t="shared" si="270"/>
        <v>2023</v>
      </c>
      <c r="C143" s="159">
        <f t="shared" si="271"/>
        <v>11</v>
      </c>
      <c r="D143" s="190">
        <f>AVERAGEIFS(data!G:G,data!A:A,'weekly-forecast'!B143,data!B:B,'weekly-forecast'!C143)</f>
        <v>280</v>
      </c>
      <c r="E143" s="190">
        <f>AVERAGEIFS(data!F:F,data!A:A,'weekly-forecast'!B143,data!B:B,'weekly-forecast'!C143)</f>
        <v>300</v>
      </c>
      <c r="F143" s="190">
        <v>194.5</v>
      </c>
      <c r="G143" s="190">
        <v>550</v>
      </c>
      <c r="H143" s="190">
        <v>330</v>
      </c>
      <c r="I143" s="170">
        <v>3.1030000000000002</v>
      </c>
      <c r="J143" s="190">
        <v>82.186363636363637</v>
      </c>
      <c r="K143" s="201"/>
      <c r="L143" s="201"/>
      <c r="M143" s="201"/>
      <c r="N143" s="201"/>
      <c r="O143" s="201"/>
      <c r="P143" s="201"/>
      <c r="Q143" s="171">
        <f t="shared" si="272"/>
        <v>0</v>
      </c>
      <c r="R143" s="171">
        <f t="shared" si="273"/>
        <v>0</v>
      </c>
      <c r="S143" s="171">
        <f t="shared" si="274"/>
        <v>-5.7142857142857141E-2</v>
      </c>
      <c r="T143" s="171">
        <f t="shared" si="275"/>
        <v>-4.4276180698151349E-3</v>
      </c>
      <c r="U143" s="171">
        <f t="shared" si="276"/>
        <v>0</v>
      </c>
      <c r="V143" s="171">
        <f t="shared" si="347"/>
        <v>0</v>
      </c>
      <c r="W143" s="171">
        <f t="shared" si="277"/>
        <v>0</v>
      </c>
      <c r="X143" s="172">
        <f t="shared" si="255"/>
        <v>-0.15434782608695652</v>
      </c>
      <c r="Y143" s="172">
        <f t="shared" si="256"/>
        <v>0</v>
      </c>
      <c r="Z143" s="172">
        <f t="shared" si="257"/>
        <v>-8.3333333333333329E-2</v>
      </c>
      <c r="AA143" s="172">
        <f t="shared" si="258"/>
        <v>2.7483443708609334E-2</v>
      </c>
      <c r="AB143" s="172">
        <f t="shared" si="259"/>
        <v>-7.601502414594874E-2</v>
      </c>
      <c r="AC143" s="172">
        <f t="shared" si="399"/>
        <v>0</v>
      </c>
      <c r="AD143" s="172">
        <f t="shared" ref="AD143" si="410">(E143-E147)/E147</f>
        <v>0.2</v>
      </c>
      <c r="AE143" s="172">
        <f t="shared" si="261"/>
        <v>-0.50382653061224492</v>
      </c>
      <c r="AF143" s="172">
        <f t="shared" si="262"/>
        <v>-0.46210268948655259</v>
      </c>
      <c r="AG143" s="172">
        <f t="shared" si="263"/>
        <v>-0.36231884057971014</v>
      </c>
      <c r="AH143" s="172">
        <f t="shared" si="264"/>
        <v>-0.49690327183112287</v>
      </c>
      <c r="AI143" s="172">
        <f t="shared" si="265"/>
        <v>-9.624372079074299E-2</v>
      </c>
      <c r="AJ143" s="172">
        <f t="shared" si="401"/>
        <v>-0.49090909090909091</v>
      </c>
      <c r="AK143" s="172">
        <f t="shared" ref="AK143" si="411">(E143-E195)/E195</f>
        <v>-0.4</v>
      </c>
    </row>
    <row r="144" spans="1:37" x14ac:dyDescent="0.3">
      <c r="A144" s="169">
        <v>45240</v>
      </c>
      <c r="B144" s="159">
        <f t="shared" si="270"/>
        <v>2023</v>
      </c>
      <c r="C144" s="159">
        <f t="shared" si="271"/>
        <v>11</v>
      </c>
      <c r="D144" s="190">
        <f>AVERAGEIFS(data!G:G,data!A:A,'weekly-forecast'!B144,data!B:B,'weekly-forecast'!C144)</f>
        <v>280</v>
      </c>
      <c r="E144" s="190">
        <f>AVERAGEIFS(data!F:F,data!A:A,'weekly-forecast'!B144,data!B:B,'weekly-forecast'!C144)</f>
        <v>300</v>
      </c>
      <c r="F144" s="190">
        <v>194.5</v>
      </c>
      <c r="G144" s="190">
        <v>550</v>
      </c>
      <c r="H144" s="190">
        <v>350</v>
      </c>
      <c r="I144" s="170">
        <v>3.1168</v>
      </c>
      <c r="J144" s="190">
        <v>82.186363636363637</v>
      </c>
      <c r="K144" s="201"/>
      <c r="L144" s="201"/>
      <c r="M144" s="201"/>
      <c r="N144" s="201"/>
      <c r="O144" s="201"/>
      <c r="P144" s="201"/>
      <c r="Q144" s="171">
        <f t="shared" si="272"/>
        <v>-3.9506172839506172E-2</v>
      </c>
      <c r="R144" s="171">
        <f t="shared" si="273"/>
        <v>0</v>
      </c>
      <c r="S144" s="171">
        <f t="shared" si="274"/>
        <v>-2.097902097902098E-2</v>
      </c>
      <c r="T144" s="171">
        <f t="shared" si="275"/>
        <v>-0.10477941176470594</v>
      </c>
      <c r="U144" s="171">
        <f t="shared" si="276"/>
        <v>0</v>
      </c>
      <c r="V144" s="171">
        <f t="shared" si="347"/>
        <v>0</v>
      </c>
      <c r="W144" s="171">
        <f t="shared" si="277"/>
        <v>0</v>
      </c>
      <c r="X144" s="172">
        <f t="shared" si="255"/>
        <v>-0.15434782608695652</v>
      </c>
      <c r="Y144" s="172">
        <f t="shared" si="256"/>
        <v>0</v>
      </c>
      <c r="Z144" s="172">
        <f t="shared" si="257"/>
        <v>-2.7777777777777776E-2</v>
      </c>
      <c r="AA144" s="172">
        <f t="shared" si="258"/>
        <v>-6.7663775052348177E-2</v>
      </c>
      <c r="AB144" s="172">
        <f t="shared" si="259"/>
        <v>-7.601502414594874E-2</v>
      </c>
      <c r="AC144" s="172">
        <f t="shared" si="399"/>
        <v>0</v>
      </c>
      <c r="AD144" s="172">
        <f t="shared" ref="AD144" si="412">(E144-E148)/E148</f>
        <v>0.2</v>
      </c>
      <c r="AE144" s="172">
        <f t="shared" si="261"/>
        <v>-0.50382653061224492</v>
      </c>
      <c r="AF144" s="172">
        <f t="shared" si="262"/>
        <v>-0.46210268948655259</v>
      </c>
      <c r="AG144" s="172">
        <f t="shared" si="263"/>
        <v>-0.32367149758454106</v>
      </c>
      <c r="AH144" s="172">
        <f t="shared" si="264"/>
        <v>-0.49834218573957823</v>
      </c>
      <c r="AI144" s="172">
        <f t="shared" si="265"/>
        <v>-9.624372079074299E-2</v>
      </c>
      <c r="AJ144" s="172">
        <f t="shared" si="401"/>
        <v>-0.49090909090909091</v>
      </c>
      <c r="AK144" s="172">
        <f t="shared" ref="AK144" si="413">(E144-E196)/E196</f>
        <v>-0.4</v>
      </c>
    </row>
    <row r="145" spans="1:37" x14ac:dyDescent="0.3">
      <c r="A145" s="169">
        <v>45233</v>
      </c>
      <c r="B145" s="159">
        <f t="shared" si="270"/>
        <v>2023</v>
      </c>
      <c r="C145" s="159">
        <f t="shared" si="271"/>
        <v>11</v>
      </c>
      <c r="D145" s="190">
        <f>AVERAGEIFS(data!G:G,data!A:A,'weekly-forecast'!B145,data!B:B,'weekly-forecast'!C145)</f>
        <v>280</v>
      </c>
      <c r="E145" s="190">
        <f>AVERAGEIFS(data!F:F,data!A:A,'weekly-forecast'!B145,data!B:B,'weekly-forecast'!C145)</f>
        <v>300</v>
      </c>
      <c r="F145" s="190">
        <v>202.5</v>
      </c>
      <c r="G145" s="190">
        <v>550</v>
      </c>
      <c r="H145" s="190">
        <v>357.5</v>
      </c>
      <c r="I145" s="170">
        <v>3.4816000000000003</v>
      </c>
      <c r="J145" s="190">
        <v>82.186363636363637</v>
      </c>
      <c r="K145" s="202"/>
      <c r="L145" s="202"/>
      <c r="M145" s="202"/>
      <c r="N145" s="202"/>
      <c r="O145" s="202"/>
      <c r="P145" s="202"/>
      <c r="Q145" s="171">
        <f t="shared" si="272"/>
        <v>-2.4096385542168676E-2</v>
      </c>
      <c r="R145" s="171">
        <f t="shared" si="273"/>
        <v>0</v>
      </c>
      <c r="S145" s="171">
        <f t="shared" si="274"/>
        <v>3.6231884057971016E-2</v>
      </c>
      <c r="T145" s="171">
        <f t="shared" si="275"/>
        <v>0.13889434085704949</v>
      </c>
      <c r="U145" s="171">
        <f t="shared" si="276"/>
        <v>-7.601502414594874E-2</v>
      </c>
      <c r="V145" s="171">
        <f t="shared" si="347"/>
        <v>0</v>
      </c>
      <c r="W145" s="171">
        <f t="shared" si="277"/>
        <v>0.2</v>
      </c>
      <c r="X145" s="172">
        <f t="shared" si="255"/>
        <v>-5.8139534883720929E-2</v>
      </c>
      <c r="Y145" s="172">
        <f t="shared" si="256"/>
        <v>0</v>
      </c>
      <c r="Z145" s="172">
        <f t="shared" si="257"/>
        <v>-6.9444444444444441E-3</v>
      </c>
      <c r="AA145" s="172">
        <f t="shared" si="258"/>
        <v>0.14113405440839089</v>
      </c>
      <c r="AB145" s="172">
        <f t="shared" si="259"/>
        <v>-7.601502414594874E-2</v>
      </c>
      <c r="AC145" s="172">
        <f t="shared" si="399"/>
        <v>0</v>
      </c>
      <c r="AD145" s="172">
        <f t="shared" ref="AD145" si="414">(E145-E149)/E149</f>
        <v>0.2</v>
      </c>
      <c r="AE145" s="172">
        <f t="shared" si="261"/>
        <v>-0.47674418604651164</v>
      </c>
      <c r="AF145" s="172">
        <f t="shared" si="262"/>
        <v>-0.47619047619047616</v>
      </c>
      <c r="AG145" s="172">
        <f t="shared" si="263"/>
        <v>-0.30243902439024389</v>
      </c>
      <c r="AH145" s="172">
        <f t="shared" si="264"/>
        <v>-0.43318572544933576</v>
      </c>
      <c r="AI145" s="172">
        <f t="shared" si="265"/>
        <v>-9.624372079074299E-2</v>
      </c>
      <c r="AJ145" s="172">
        <f t="shared" si="401"/>
        <v>-0.49090909090909091</v>
      </c>
      <c r="AK145" s="172">
        <f t="shared" ref="AK145" si="415">(E145-E197)/E197</f>
        <v>-0.4</v>
      </c>
    </row>
    <row r="146" spans="1:37" x14ac:dyDescent="0.3">
      <c r="A146" s="169">
        <v>45226</v>
      </c>
      <c r="B146" s="159">
        <f t="shared" si="270"/>
        <v>2023</v>
      </c>
      <c r="C146" s="159">
        <f t="shared" si="271"/>
        <v>10</v>
      </c>
      <c r="D146" s="190">
        <f>AVERAGEIFS(data!G:G,data!A:A,'weekly-forecast'!B146,data!B:B,'weekly-forecast'!C146)</f>
        <v>280</v>
      </c>
      <c r="E146" s="190">
        <f>AVERAGEIFS(data!F:F,data!A:A,'weekly-forecast'!B146,data!B:B,'weekly-forecast'!C146)</f>
        <v>250</v>
      </c>
      <c r="F146" s="190">
        <v>207.5</v>
      </c>
      <c r="G146" s="190">
        <v>550</v>
      </c>
      <c r="H146" s="190">
        <v>345</v>
      </c>
      <c r="I146" s="170">
        <v>3.0569999999999999</v>
      </c>
      <c r="J146" s="190">
        <v>88.947727272727263</v>
      </c>
      <c r="K146" s="200">
        <f>AVERAGE(D146:D149)</f>
        <v>280</v>
      </c>
      <c r="L146" s="200">
        <f t="shared" ref="L146:P146" si="416">AVERAGE(E146:E149)</f>
        <v>250</v>
      </c>
      <c r="M146" s="200">
        <f t="shared" si="416"/>
        <v>220.625</v>
      </c>
      <c r="N146" s="200">
        <f t="shared" si="416"/>
        <v>550</v>
      </c>
      <c r="O146" s="200">
        <f t="shared" si="416"/>
        <v>356.25</v>
      </c>
      <c r="P146" s="200">
        <f t="shared" si="416"/>
        <v>3.11775</v>
      </c>
      <c r="Q146" s="171">
        <f t="shared" si="272"/>
        <v>-9.7826086956521743E-2</v>
      </c>
      <c r="R146" s="171">
        <f t="shared" si="273"/>
        <v>0</v>
      </c>
      <c r="S146" s="171">
        <f t="shared" si="274"/>
        <v>-4.1666666666666664E-2</v>
      </c>
      <c r="T146" s="171">
        <f t="shared" si="275"/>
        <v>1.2251655629139047E-2</v>
      </c>
      <c r="U146" s="171">
        <f t="shared" si="276"/>
        <v>0</v>
      </c>
      <c r="V146" s="171">
        <f t="shared" si="347"/>
        <v>0</v>
      </c>
      <c r="W146" s="171">
        <f t="shared" si="277"/>
        <v>0</v>
      </c>
      <c r="X146" s="172">
        <f t="shared" si="255"/>
        <v>-0.11702127659574468</v>
      </c>
      <c r="Y146" s="172">
        <f t="shared" si="256"/>
        <v>0</v>
      </c>
      <c r="Z146" s="172">
        <f t="shared" si="257"/>
        <v>-1.4285714285714285E-2</v>
      </c>
      <c r="AA146" s="172">
        <f t="shared" si="258"/>
        <v>9.7035814253929514E-2</v>
      </c>
      <c r="AB146" s="172">
        <f t="shared" si="259"/>
        <v>-4.0201489755478617E-2</v>
      </c>
      <c r="AC146" s="172">
        <f t="shared" si="399"/>
        <v>0</v>
      </c>
      <c r="AD146" s="172">
        <f t="shared" ref="AD146" si="417">(E146-E150)/E150</f>
        <v>0</v>
      </c>
      <c r="AE146" s="172">
        <f t="shared" si="261"/>
        <v>-0.46382428940568476</v>
      </c>
      <c r="AF146" s="172">
        <f t="shared" si="262"/>
        <v>-0.47619047619047616</v>
      </c>
      <c r="AG146" s="172">
        <f t="shared" si="263"/>
        <v>-0.32019704433497537</v>
      </c>
      <c r="AH146" s="172">
        <f t="shared" si="264"/>
        <v>-0.43986367634124884</v>
      </c>
      <c r="AI146" s="172">
        <f t="shared" si="265"/>
        <v>-5.090606998294165E-2</v>
      </c>
      <c r="AJ146" s="172">
        <f t="shared" si="401"/>
        <v>-0.47169811320754718</v>
      </c>
      <c r="AK146" s="172">
        <f t="shared" ref="AK146" si="418">(E146-E198)/E198</f>
        <v>-0.5</v>
      </c>
    </row>
    <row r="147" spans="1:37" x14ac:dyDescent="0.3">
      <c r="A147" s="169">
        <v>45219</v>
      </c>
      <c r="B147" s="159">
        <f t="shared" si="270"/>
        <v>2023</v>
      </c>
      <c r="C147" s="159">
        <f t="shared" si="271"/>
        <v>10</v>
      </c>
      <c r="D147" s="190">
        <f>AVERAGEIFS(data!G:G,data!A:A,'weekly-forecast'!B147,data!B:B,'weekly-forecast'!C147)</f>
        <v>280</v>
      </c>
      <c r="E147" s="190">
        <f>AVERAGEIFS(data!F:F,data!A:A,'weekly-forecast'!B147,data!B:B,'weekly-forecast'!C147)</f>
        <v>250</v>
      </c>
      <c r="F147" s="190">
        <v>230</v>
      </c>
      <c r="G147" s="190">
        <v>550</v>
      </c>
      <c r="H147" s="190">
        <v>360</v>
      </c>
      <c r="I147" s="170">
        <v>3.02</v>
      </c>
      <c r="J147" s="190">
        <v>88.947727272727263</v>
      </c>
      <c r="K147" s="201"/>
      <c r="L147" s="201"/>
      <c r="M147" s="201"/>
      <c r="N147" s="201"/>
      <c r="O147" s="201"/>
      <c r="P147" s="201"/>
      <c r="Q147" s="171">
        <f t="shared" si="272"/>
        <v>0</v>
      </c>
      <c r="R147" s="171">
        <f t="shared" si="273"/>
        <v>0</v>
      </c>
      <c r="S147" s="171">
        <f t="shared" si="274"/>
        <v>0</v>
      </c>
      <c r="T147" s="171">
        <f t="shared" si="275"/>
        <v>-9.6619802572539618E-2</v>
      </c>
      <c r="U147" s="171">
        <f t="shared" si="276"/>
        <v>0</v>
      </c>
      <c r="V147" s="171">
        <f t="shared" si="347"/>
        <v>0</v>
      </c>
      <c r="W147" s="171">
        <f t="shared" si="277"/>
        <v>0</v>
      </c>
      <c r="X147" s="172">
        <f t="shared" si="255"/>
        <v>-4.1666666666666664E-2</v>
      </c>
      <c r="Y147" s="172">
        <f t="shared" si="256"/>
        <v>0.23595505617977527</v>
      </c>
      <c r="Z147" s="172">
        <f t="shared" si="257"/>
        <v>2.8571428571428571E-2</v>
      </c>
      <c r="AA147" s="172">
        <f t="shared" si="258"/>
        <v>0.11389790498672182</v>
      </c>
      <c r="AB147" s="172">
        <f t="shared" si="259"/>
        <v>-4.0201489755478617E-2</v>
      </c>
      <c r="AC147" s="172">
        <f t="shared" si="399"/>
        <v>0</v>
      </c>
      <c r="AD147" s="172">
        <f t="shared" ref="AD147" si="419">(E147-E151)/E151</f>
        <v>0</v>
      </c>
      <c r="AE147" s="172">
        <f t="shared" si="261"/>
        <v>-0.40568475452196384</v>
      </c>
      <c r="AF147" s="172">
        <f t="shared" si="262"/>
        <v>-0.47619047619047616</v>
      </c>
      <c r="AG147" s="172">
        <f t="shared" si="263"/>
        <v>-0.33023255813953489</v>
      </c>
      <c r="AH147" s="172">
        <f t="shared" si="264"/>
        <v>-0.45136794680812409</v>
      </c>
      <c r="AI147" s="172">
        <f t="shared" si="265"/>
        <v>-5.090606998294165E-2</v>
      </c>
      <c r="AJ147" s="172">
        <f t="shared" si="401"/>
        <v>-0.47169811320754718</v>
      </c>
      <c r="AK147" s="172">
        <f t="shared" ref="AK147" si="420">(E147-E199)/E199</f>
        <v>-0.5</v>
      </c>
    </row>
    <row r="148" spans="1:37" x14ac:dyDescent="0.3">
      <c r="A148" s="169">
        <v>45212</v>
      </c>
      <c r="B148" s="159">
        <f t="shared" si="270"/>
        <v>2023</v>
      </c>
      <c r="C148" s="159">
        <f t="shared" si="271"/>
        <v>10</v>
      </c>
      <c r="D148" s="190">
        <f>AVERAGEIFS(data!G:G,data!A:A,'weekly-forecast'!B148,data!B:B,'weekly-forecast'!C148)</f>
        <v>280</v>
      </c>
      <c r="E148" s="190">
        <f>AVERAGEIFS(data!F:F,data!A:A,'weekly-forecast'!B148,data!B:B,'weekly-forecast'!C148)</f>
        <v>250</v>
      </c>
      <c r="F148" s="190">
        <v>230</v>
      </c>
      <c r="G148" s="190">
        <v>550</v>
      </c>
      <c r="H148" s="190">
        <v>360</v>
      </c>
      <c r="I148" s="170">
        <v>3.343</v>
      </c>
      <c r="J148" s="190">
        <v>88.947727272727263</v>
      </c>
      <c r="K148" s="201"/>
      <c r="L148" s="201"/>
      <c r="M148" s="201"/>
      <c r="N148" s="201"/>
      <c r="O148" s="201"/>
      <c r="P148" s="201"/>
      <c r="Q148" s="171">
        <f t="shared" si="272"/>
        <v>6.9767441860465115E-2</v>
      </c>
      <c r="R148" s="171">
        <f t="shared" si="273"/>
        <v>0</v>
      </c>
      <c r="S148" s="171">
        <f t="shared" si="274"/>
        <v>0</v>
      </c>
      <c r="T148" s="171">
        <f t="shared" si="275"/>
        <v>9.5706325794821467E-2</v>
      </c>
      <c r="U148" s="171">
        <f t="shared" si="276"/>
        <v>0</v>
      </c>
      <c r="V148" s="171">
        <f t="shared" ref="V148:V179" si="421">(D148-D149)/D149</f>
        <v>0</v>
      </c>
      <c r="W148" s="171">
        <f t="shared" si="277"/>
        <v>0</v>
      </c>
      <c r="X148" s="172">
        <f t="shared" ref="X148:X206" si="422">(F148-F152)/F152</f>
        <v>-0.17857142857142858</v>
      </c>
      <c r="Y148" s="172">
        <f t="shared" ref="Y148:Y206" si="423">(G148-G152)/G152</f>
        <v>0.23595505617977527</v>
      </c>
      <c r="Z148" s="172">
        <f t="shared" ref="Z148:Z206" si="424">(H148-H152)/H152</f>
        <v>2.8571428571428571E-2</v>
      </c>
      <c r="AA148" s="172">
        <f t="shared" ref="AA148:AA206" si="425">(I148-I152)/I152</f>
        <v>0.24897257715011575</v>
      </c>
      <c r="AB148" s="172">
        <f t="shared" ref="AB148:AB206" si="426">(J148-J152)/J152</f>
        <v>-4.0201489755478617E-2</v>
      </c>
      <c r="AC148" s="172">
        <f t="shared" si="399"/>
        <v>0</v>
      </c>
      <c r="AD148" s="172">
        <f t="shared" ref="AD148" si="427">(E148-E152)/E152</f>
        <v>0</v>
      </c>
      <c r="AE148" s="172">
        <f t="shared" ref="AE148:AE158" si="428">(F148-F200)/F200</f>
        <v>-0.40568475452196384</v>
      </c>
      <c r="AF148" s="172">
        <f t="shared" ref="AF148:AF158" si="429">(G148-G200)/G200</f>
        <v>-0.47619047619047616</v>
      </c>
      <c r="AG148" s="172">
        <f t="shared" ref="AG148:AG158" si="430">(H148-H200)/H200</f>
        <v>-0.33333333333333331</v>
      </c>
      <c r="AH148" s="172">
        <f t="shared" ref="AH148:AH158" si="431">(I148-I200)/I200</f>
        <v>-0.48821187997550514</v>
      </c>
      <c r="AI148" s="172">
        <f t="shared" ref="AI148:AI158" si="432">(J148-J200)/J200</f>
        <v>-5.090606998294165E-2</v>
      </c>
      <c r="AJ148" s="172">
        <f t="shared" si="401"/>
        <v>-0.47169811320754718</v>
      </c>
      <c r="AK148" s="172">
        <f t="shared" ref="AK148" si="433">(E148-E200)/E200</f>
        <v>-0.5</v>
      </c>
    </row>
    <row r="149" spans="1:37" x14ac:dyDescent="0.3">
      <c r="A149" s="169">
        <v>45205</v>
      </c>
      <c r="B149" s="159">
        <f t="shared" si="270"/>
        <v>2023</v>
      </c>
      <c r="C149" s="159">
        <f t="shared" si="271"/>
        <v>10</v>
      </c>
      <c r="D149" s="190">
        <f>AVERAGEIFS(data!G:G,data!A:A,'weekly-forecast'!B149,data!B:B,'weekly-forecast'!C149)</f>
        <v>280</v>
      </c>
      <c r="E149" s="190">
        <f>AVERAGEIFS(data!F:F,data!A:A,'weekly-forecast'!B149,data!B:B,'weekly-forecast'!C149)</f>
        <v>250</v>
      </c>
      <c r="F149" s="190">
        <v>215</v>
      </c>
      <c r="G149" s="190">
        <v>550</v>
      </c>
      <c r="H149" s="190">
        <v>360</v>
      </c>
      <c r="I149" s="170">
        <v>3.0509999999999997</v>
      </c>
      <c r="J149" s="190">
        <v>88.947727272727263</v>
      </c>
      <c r="K149" s="202"/>
      <c r="L149" s="202"/>
      <c r="M149" s="202"/>
      <c r="N149" s="202"/>
      <c r="O149" s="202"/>
      <c r="P149" s="202"/>
      <c r="Q149" s="171">
        <f t="shared" si="272"/>
        <v>-8.5106382978723402E-2</v>
      </c>
      <c r="R149" s="171">
        <f t="shared" si="273"/>
        <v>0</v>
      </c>
      <c r="S149" s="171">
        <f t="shared" si="274"/>
        <v>2.8571428571428571E-2</v>
      </c>
      <c r="T149" s="171">
        <f t="shared" si="275"/>
        <v>9.4882652695040468E-2</v>
      </c>
      <c r="U149" s="171">
        <f t="shared" si="276"/>
        <v>-4.0201489755478617E-2</v>
      </c>
      <c r="V149" s="171">
        <f t="shared" si="421"/>
        <v>0</v>
      </c>
      <c r="W149" s="171">
        <f t="shared" si="277"/>
        <v>0</v>
      </c>
      <c r="X149" s="172">
        <f t="shared" si="422"/>
        <v>-0.23214285714285715</v>
      </c>
      <c r="Y149" s="172">
        <f t="shared" si="423"/>
        <v>0.375</v>
      </c>
      <c r="Z149" s="172">
        <f t="shared" si="424"/>
        <v>-4.1278295605858856E-2</v>
      </c>
      <c r="AA149" s="172">
        <f t="shared" si="425"/>
        <v>0.18762164266251452</v>
      </c>
      <c r="AB149" s="172">
        <f t="shared" si="426"/>
        <v>-4.0201489755478617E-2</v>
      </c>
      <c r="AC149" s="172">
        <f t="shared" si="399"/>
        <v>0</v>
      </c>
      <c r="AD149" s="172">
        <f t="shared" ref="AD149" si="434">(E149-E153)/E153</f>
        <v>0</v>
      </c>
      <c r="AE149" s="172">
        <f t="shared" si="428"/>
        <v>-0.40194714881780252</v>
      </c>
      <c r="AF149" s="172">
        <f t="shared" si="429"/>
        <v>-0.47619047619047616</v>
      </c>
      <c r="AG149" s="172">
        <f t="shared" si="430"/>
        <v>-0.33640552995391704</v>
      </c>
      <c r="AH149" s="172">
        <f t="shared" si="431"/>
        <v>-0.55075536708189776</v>
      </c>
      <c r="AI149" s="172">
        <f t="shared" si="432"/>
        <v>-5.090606998294165E-2</v>
      </c>
      <c r="AJ149" s="172">
        <f t="shared" si="401"/>
        <v>-0.47169811320754718</v>
      </c>
      <c r="AK149" s="172">
        <f t="shared" ref="AK149" si="435">(E149-E201)/E201</f>
        <v>-0.5</v>
      </c>
    </row>
    <row r="150" spans="1:37" x14ac:dyDescent="0.3">
      <c r="A150" s="169">
        <v>45198</v>
      </c>
      <c r="B150" s="159">
        <f t="shared" ref="B150:B210" si="436">YEAR(A150)</f>
        <v>2023</v>
      </c>
      <c r="C150" s="159">
        <f t="shared" ref="C150:C210" si="437">MONTH(A150)</f>
        <v>9</v>
      </c>
      <c r="D150" s="190">
        <f>AVERAGEIFS(data!G:G,data!A:A,'weekly-forecast'!B150,data!B:B,'weekly-forecast'!C150)</f>
        <v>280</v>
      </c>
      <c r="E150" s="190">
        <f>AVERAGEIFS(data!F:F,data!A:A,'weekly-forecast'!B150,data!B:B,'weekly-forecast'!C150)</f>
        <v>250</v>
      </c>
      <c r="F150" s="190">
        <v>235</v>
      </c>
      <c r="G150" s="190">
        <v>550</v>
      </c>
      <c r="H150" s="190">
        <v>350</v>
      </c>
      <c r="I150" s="170">
        <v>2.7866</v>
      </c>
      <c r="J150" s="190">
        <v>92.673333333333318</v>
      </c>
      <c r="K150" s="200">
        <f>AVERAGE(D150:D154)</f>
        <v>280</v>
      </c>
      <c r="L150" s="200">
        <f t="shared" ref="L150:P150" si="438">AVERAGE(E150:E154)</f>
        <v>250</v>
      </c>
      <c r="M150" s="200">
        <f t="shared" si="438"/>
        <v>256</v>
      </c>
      <c r="N150" s="200">
        <f t="shared" si="438"/>
        <v>448</v>
      </c>
      <c r="O150" s="200">
        <f t="shared" si="438"/>
        <v>349.1</v>
      </c>
      <c r="P150" s="200">
        <f t="shared" si="438"/>
        <v>2.6872400000000001</v>
      </c>
      <c r="Q150" s="171">
        <f t="shared" ref="Q150:Q209" si="439">(F150-F151)/F151</f>
        <v>-2.0833333333333332E-2</v>
      </c>
      <c r="R150" s="171">
        <f t="shared" ref="R150:R209" si="440">(G150-G151)/G151</f>
        <v>0.23595505617977527</v>
      </c>
      <c r="S150" s="171">
        <f t="shared" ref="S150:S209" si="441">(H150-H151)/H151</f>
        <v>0</v>
      </c>
      <c r="T150" s="171">
        <f t="shared" ref="T150:T209" si="442">(I150-I151)/I151</f>
        <v>2.781056358807913E-2</v>
      </c>
      <c r="U150" s="171">
        <f t="shared" ref="U150:U209" si="443">(J150-J151)/J151</f>
        <v>0</v>
      </c>
      <c r="V150" s="171">
        <f t="shared" si="421"/>
        <v>0</v>
      </c>
      <c r="W150" s="171">
        <f t="shared" ref="W150:W209" si="444">(E150-E151)/E151</f>
        <v>0</v>
      </c>
      <c r="X150" s="172">
        <f t="shared" si="422"/>
        <v>-4.0816326530612242E-2</v>
      </c>
      <c r="Y150" s="172">
        <f t="shared" si="423"/>
        <v>0.375</v>
      </c>
      <c r="Z150" s="172">
        <f t="shared" si="424"/>
        <v>9.375E-2</v>
      </c>
      <c r="AA150" s="172">
        <f t="shared" si="425"/>
        <v>3.4833630421865845E-2</v>
      </c>
      <c r="AB150" s="172">
        <f t="shared" si="426"/>
        <v>0</v>
      </c>
      <c r="AC150" s="172">
        <f t="shared" si="399"/>
        <v>0</v>
      </c>
      <c r="AD150" s="172">
        <f t="shared" ref="AD150" si="445">(E150-E154)/E154</f>
        <v>0</v>
      </c>
      <c r="AE150" s="172">
        <f t="shared" si="428"/>
        <v>-0.34631432545201668</v>
      </c>
      <c r="AF150" s="172">
        <f t="shared" si="429"/>
        <v>-0.47619047619047616</v>
      </c>
      <c r="AG150" s="172">
        <f t="shared" si="430"/>
        <v>-0.38053097345132741</v>
      </c>
      <c r="AH150" s="172">
        <f t="shared" si="431"/>
        <v>-0.59095179378779883</v>
      </c>
      <c r="AI150" s="172">
        <f t="shared" si="432"/>
        <v>2.279210854595359E-2</v>
      </c>
      <c r="AJ150" s="172">
        <f t="shared" si="401"/>
        <v>-0.47169811320754718</v>
      </c>
      <c r="AK150" s="172">
        <f t="shared" ref="AK150" si="446">(E150-E202)/E202</f>
        <v>-0.5</v>
      </c>
    </row>
    <row r="151" spans="1:37" x14ac:dyDescent="0.3">
      <c r="A151" s="169">
        <v>45191</v>
      </c>
      <c r="B151" s="159">
        <f t="shared" si="436"/>
        <v>2023</v>
      </c>
      <c r="C151" s="159">
        <f t="shared" si="437"/>
        <v>9</v>
      </c>
      <c r="D151" s="190">
        <f>AVERAGEIFS(data!G:G,data!A:A,'weekly-forecast'!B151,data!B:B,'weekly-forecast'!C151)</f>
        <v>280</v>
      </c>
      <c r="E151" s="190">
        <f>AVERAGEIFS(data!F:F,data!A:A,'weekly-forecast'!B151,data!B:B,'weekly-forecast'!C151)</f>
        <v>250</v>
      </c>
      <c r="F151" s="190">
        <v>240</v>
      </c>
      <c r="G151" s="190">
        <v>445</v>
      </c>
      <c r="H151" s="190">
        <v>350</v>
      </c>
      <c r="I151" s="170">
        <v>2.7111999999999998</v>
      </c>
      <c r="J151" s="190">
        <v>92.673333333333318</v>
      </c>
      <c r="K151" s="201"/>
      <c r="L151" s="201"/>
      <c r="M151" s="201"/>
      <c r="N151" s="201"/>
      <c r="O151" s="201"/>
      <c r="P151" s="201"/>
      <c r="Q151" s="171">
        <f t="shared" si="439"/>
        <v>-0.14285714285714285</v>
      </c>
      <c r="R151" s="171">
        <f t="shared" si="440"/>
        <v>0</v>
      </c>
      <c r="S151" s="171">
        <f t="shared" si="441"/>
        <v>0</v>
      </c>
      <c r="T151" s="171">
        <f t="shared" si="442"/>
        <v>1.292684749308815E-2</v>
      </c>
      <c r="U151" s="171">
        <f t="shared" si="443"/>
        <v>0</v>
      </c>
      <c r="V151" s="171">
        <f t="shared" si="421"/>
        <v>0</v>
      </c>
      <c r="W151" s="171">
        <f t="shared" si="444"/>
        <v>0</v>
      </c>
      <c r="X151" s="172">
        <f t="shared" si="422"/>
        <v>-2.0408163265306121E-2</v>
      </c>
      <c r="Y151" s="172">
        <f t="shared" si="423"/>
        <v>0.1125</v>
      </c>
      <c r="Z151" s="172">
        <f t="shared" si="424"/>
        <v>6.0606060606060608E-2</v>
      </c>
      <c r="AA151" s="172">
        <f t="shared" si="425"/>
        <v>6.3382491371195476E-2</v>
      </c>
      <c r="AB151" s="172">
        <f t="shared" si="426"/>
        <v>8.8120532075465108E-2</v>
      </c>
      <c r="AC151" s="172">
        <f t="shared" si="399"/>
        <v>0</v>
      </c>
      <c r="AD151" s="172">
        <f t="shared" ref="AD151" si="447">(E151-E155)/E155</f>
        <v>0</v>
      </c>
      <c r="AE151" s="172">
        <f t="shared" si="428"/>
        <v>-0.2</v>
      </c>
      <c r="AF151" s="172">
        <f t="shared" si="429"/>
        <v>-0.59545454545454546</v>
      </c>
      <c r="AG151" s="172">
        <f t="shared" si="430"/>
        <v>-0.43089430894308944</v>
      </c>
      <c r="AH151" s="172">
        <f t="shared" si="431"/>
        <v>-0.6352482174088524</v>
      </c>
      <c r="AI151" s="172">
        <f t="shared" si="432"/>
        <v>2.279210854595359E-2</v>
      </c>
      <c r="AJ151" s="172">
        <f t="shared" si="401"/>
        <v>-0.47169811320754718</v>
      </c>
      <c r="AK151" s="172">
        <f t="shared" ref="AK151" si="448">(E151-E203)/E203</f>
        <v>-0.5</v>
      </c>
    </row>
    <row r="152" spans="1:37" x14ac:dyDescent="0.3">
      <c r="A152" s="169">
        <v>45184</v>
      </c>
      <c r="B152" s="159">
        <f t="shared" si="436"/>
        <v>2023</v>
      </c>
      <c r="C152" s="159">
        <f t="shared" si="437"/>
        <v>9</v>
      </c>
      <c r="D152" s="190">
        <f>AVERAGEIFS(data!G:G,data!A:A,'weekly-forecast'!B152,data!B:B,'weekly-forecast'!C152)</f>
        <v>280</v>
      </c>
      <c r="E152" s="190">
        <f>AVERAGEIFS(data!F:F,data!A:A,'weekly-forecast'!B152,data!B:B,'weekly-forecast'!C152)</f>
        <v>250</v>
      </c>
      <c r="F152" s="190">
        <v>280</v>
      </c>
      <c r="G152" s="190">
        <v>445</v>
      </c>
      <c r="H152" s="190">
        <v>350</v>
      </c>
      <c r="I152" s="170">
        <v>2.6766000000000001</v>
      </c>
      <c r="J152" s="190">
        <v>92.673333333333318</v>
      </c>
      <c r="K152" s="201"/>
      <c r="L152" s="201"/>
      <c r="M152" s="201"/>
      <c r="N152" s="201"/>
      <c r="O152" s="201"/>
      <c r="P152" s="201"/>
      <c r="Q152" s="171">
        <f t="shared" si="439"/>
        <v>0</v>
      </c>
      <c r="R152" s="171">
        <f t="shared" si="440"/>
        <v>0.1125</v>
      </c>
      <c r="S152" s="171">
        <f t="shared" si="441"/>
        <v>-6.7909454061251665E-2</v>
      </c>
      <c r="T152" s="171">
        <f t="shared" si="442"/>
        <v>4.1884001557026138E-2</v>
      </c>
      <c r="U152" s="171">
        <f t="shared" si="443"/>
        <v>0</v>
      </c>
      <c r="V152" s="171">
        <f t="shared" si="421"/>
        <v>0</v>
      </c>
      <c r="W152" s="171">
        <f t="shared" si="444"/>
        <v>0</v>
      </c>
      <c r="X152" s="172">
        <f t="shared" si="422"/>
        <v>0.16666666666666666</v>
      </c>
      <c r="Y152" s="172">
        <f t="shared" si="423"/>
        <v>0.390625</v>
      </c>
      <c r="Z152" s="172">
        <f t="shared" si="424"/>
        <v>-1.4084507042253521E-2</v>
      </c>
      <c r="AA152" s="172">
        <f t="shared" si="425"/>
        <v>1.2482977757603236E-2</v>
      </c>
      <c r="AB152" s="172">
        <f t="shared" si="426"/>
        <v>8.8120532075465108E-2</v>
      </c>
      <c r="AC152" s="172">
        <f t="shared" si="399"/>
        <v>0</v>
      </c>
      <c r="AD152" s="172">
        <f t="shared" ref="AD152" si="449">(E152-E156)/E156</f>
        <v>0</v>
      </c>
      <c r="AE152" s="172">
        <f t="shared" si="428"/>
        <v>-6.6666666666666666E-2</v>
      </c>
      <c r="AF152" s="172">
        <f t="shared" si="429"/>
        <v>-0.59080459770114946</v>
      </c>
      <c r="AG152" s="172">
        <f t="shared" si="430"/>
        <v>-0.39130434782608697</v>
      </c>
      <c r="AH152" s="172">
        <f t="shared" si="431"/>
        <v>-0.67933389241643705</v>
      </c>
      <c r="AI152" s="172">
        <f t="shared" si="432"/>
        <v>2.279210854595359E-2</v>
      </c>
      <c r="AJ152" s="172">
        <f t="shared" si="401"/>
        <v>-0.47169811320754718</v>
      </c>
      <c r="AK152" s="172">
        <f t="shared" ref="AK152" si="450">(E152-E204)/E204</f>
        <v>-0.5</v>
      </c>
    </row>
    <row r="153" spans="1:37" x14ac:dyDescent="0.3">
      <c r="A153" s="169">
        <v>45177</v>
      </c>
      <c r="B153" s="159">
        <f t="shared" si="436"/>
        <v>2023</v>
      </c>
      <c r="C153" s="159">
        <f t="shared" si="437"/>
        <v>9</v>
      </c>
      <c r="D153" s="190">
        <f>AVERAGEIFS(data!G:G,data!A:A,'weekly-forecast'!B153,data!B:B,'weekly-forecast'!C153)</f>
        <v>280</v>
      </c>
      <c r="E153" s="190">
        <f>AVERAGEIFS(data!F:F,data!A:A,'weekly-forecast'!B153,data!B:B,'weekly-forecast'!C153)</f>
        <v>250</v>
      </c>
      <c r="F153" s="190">
        <v>280</v>
      </c>
      <c r="G153" s="190">
        <v>400</v>
      </c>
      <c r="H153" s="190">
        <v>375.5</v>
      </c>
      <c r="I153" s="170">
        <v>2.569</v>
      </c>
      <c r="J153" s="190">
        <v>92.673333333333318</v>
      </c>
      <c r="K153" s="201"/>
      <c r="L153" s="201"/>
      <c r="M153" s="201"/>
      <c r="N153" s="201"/>
      <c r="O153" s="201"/>
      <c r="P153" s="201"/>
      <c r="Q153" s="171">
        <f t="shared" si="439"/>
        <v>0.14285714285714285</v>
      </c>
      <c r="R153" s="171">
        <f t="shared" si="440"/>
        <v>0</v>
      </c>
      <c r="S153" s="171">
        <f t="shared" si="441"/>
        <v>0.17343749999999999</v>
      </c>
      <c r="T153" s="171">
        <f t="shared" si="442"/>
        <v>-4.5974450386214984E-2</v>
      </c>
      <c r="U153" s="171">
        <f t="shared" si="443"/>
        <v>0</v>
      </c>
      <c r="V153" s="171">
        <f t="shared" si="421"/>
        <v>0</v>
      </c>
      <c r="W153" s="171">
        <f t="shared" si="444"/>
        <v>0</v>
      </c>
      <c r="X153" s="172">
        <f t="shared" si="422"/>
        <v>0.47368421052631576</v>
      </c>
      <c r="Y153" s="172">
        <f t="shared" si="423"/>
        <v>0.25</v>
      </c>
      <c r="Z153" s="172">
        <f t="shared" si="424"/>
        <v>7.2857142857142856E-2</v>
      </c>
      <c r="AA153" s="172">
        <f t="shared" si="425"/>
        <v>-8.2106617121623413E-2</v>
      </c>
      <c r="AB153" s="172">
        <f t="shared" si="426"/>
        <v>8.8120532075465108E-2</v>
      </c>
      <c r="AC153" s="172">
        <f t="shared" si="399"/>
        <v>0</v>
      </c>
      <c r="AD153" s="172">
        <f t="shared" ref="AD153" si="451">(E153-E157)/E157</f>
        <v>0</v>
      </c>
      <c r="AE153" s="172">
        <f t="shared" si="428"/>
        <v>-0.14634146341463414</v>
      </c>
      <c r="AF153" s="172">
        <f t="shared" si="429"/>
        <v>-0.63218390804597702</v>
      </c>
      <c r="AG153" s="172">
        <f t="shared" si="430"/>
        <v>-0.34695652173913044</v>
      </c>
      <c r="AH153" s="172">
        <f t="shared" si="431"/>
        <v>-0.67784814094927581</v>
      </c>
      <c r="AI153" s="172">
        <f t="shared" si="432"/>
        <v>2.279210854595359E-2</v>
      </c>
      <c r="AJ153" s="172">
        <f t="shared" si="401"/>
        <v>-0.47169811320754718</v>
      </c>
      <c r="AK153" s="172">
        <f t="shared" ref="AK153" si="452">(E153-E205)/E205</f>
        <v>-0.5</v>
      </c>
    </row>
    <row r="154" spans="1:37" x14ac:dyDescent="0.3">
      <c r="A154" s="169">
        <v>45170</v>
      </c>
      <c r="B154" s="159">
        <f t="shared" si="436"/>
        <v>2023</v>
      </c>
      <c r="C154" s="159">
        <f t="shared" si="437"/>
        <v>9</v>
      </c>
      <c r="D154" s="190">
        <f>AVERAGEIFS(data!G:G,data!A:A,'weekly-forecast'!B154,data!B:B,'weekly-forecast'!C154)</f>
        <v>280</v>
      </c>
      <c r="E154" s="190">
        <f>AVERAGEIFS(data!F:F,data!A:A,'weekly-forecast'!B154,data!B:B,'weekly-forecast'!C154)</f>
        <v>250</v>
      </c>
      <c r="F154" s="190">
        <v>245</v>
      </c>
      <c r="G154" s="190">
        <v>400</v>
      </c>
      <c r="H154" s="190">
        <v>320</v>
      </c>
      <c r="I154" s="170">
        <v>2.6927999999999996</v>
      </c>
      <c r="J154" s="190">
        <v>92.673333333333318</v>
      </c>
      <c r="K154" s="202"/>
      <c r="L154" s="202"/>
      <c r="M154" s="202"/>
      <c r="N154" s="202"/>
      <c r="O154" s="202"/>
      <c r="P154" s="202"/>
      <c r="Q154" s="171">
        <f t="shared" si="439"/>
        <v>0</v>
      </c>
      <c r="R154" s="171">
        <f t="shared" si="440"/>
        <v>0</v>
      </c>
      <c r="S154" s="171">
        <f t="shared" si="441"/>
        <v>-3.0303030303030304E-2</v>
      </c>
      <c r="T154" s="171">
        <f t="shared" si="442"/>
        <v>5.6165673046752344E-2</v>
      </c>
      <c r="U154" s="171">
        <f t="shared" si="443"/>
        <v>8.8120532075465108E-2</v>
      </c>
      <c r="V154" s="171">
        <f t="shared" si="421"/>
        <v>0</v>
      </c>
      <c r="W154" s="171">
        <f t="shared" si="444"/>
        <v>0</v>
      </c>
      <c r="X154" s="172">
        <f t="shared" si="422"/>
        <v>0.28947368421052633</v>
      </c>
      <c r="Y154" s="172">
        <f t="shared" si="423"/>
        <v>0.3559322033898305</v>
      </c>
      <c r="Z154" s="172">
        <f t="shared" si="424"/>
        <v>-0.189873417721519</v>
      </c>
      <c r="AA154" s="172">
        <f t="shared" si="425"/>
        <v>5.0807773355185909E-2</v>
      </c>
      <c r="AB154" s="172">
        <f t="shared" si="426"/>
        <v>8.8120532075465108E-2</v>
      </c>
      <c r="AC154" s="172">
        <f t="shared" si="399"/>
        <v>0</v>
      </c>
      <c r="AD154" s="172">
        <f t="shared" ref="AD154" si="453">(E154-E158)/E158</f>
        <v>0</v>
      </c>
      <c r="AE154" s="172">
        <f t="shared" si="428"/>
        <v>-0.25304878048780488</v>
      </c>
      <c r="AF154" s="172">
        <f t="shared" si="429"/>
        <v>-0.63218390804597702</v>
      </c>
      <c r="AG154" s="172">
        <f t="shared" si="430"/>
        <v>-0.42133815551537068</v>
      </c>
      <c r="AH154" s="172">
        <f t="shared" si="431"/>
        <v>-0.7045424621461488</v>
      </c>
      <c r="AI154" s="172">
        <f t="shared" si="432"/>
        <v>2.279210854595359E-2</v>
      </c>
      <c r="AJ154" s="172">
        <f t="shared" si="401"/>
        <v>-0.47169811320754718</v>
      </c>
      <c r="AK154" s="172">
        <f t="shared" ref="AK154" si="454">(E154-E206)/E206</f>
        <v>-0.5</v>
      </c>
    </row>
    <row r="155" spans="1:37" x14ac:dyDescent="0.3">
      <c r="A155" s="169">
        <v>45163</v>
      </c>
      <c r="B155" s="159">
        <f t="shared" si="436"/>
        <v>2023</v>
      </c>
      <c r="C155" s="159">
        <f t="shared" si="437"/>
        <v>8</v>
      </c>
      <c r="D155" s="190">
        <f>AVERAGEIFS(data!G:G,data!A:A,'weekly-forecast'!B155,data!B:B,'weekly-forecast'!C155)</f>
        <v>280</v>
      </c>
      <c r="E155" s="190">
        <f>AVERAGEIFS(data!F:F,data!A:A,'weekly-forecast'!B155,data!B:B,'weekly-forecast'!C155)</f>
        <v>250</v>
      </c>
      <c r="F155" s="190">
        <v>245</v>
      </c>
      <c r="G155" s="190">
        <v>400</v>
      </c>
      <c r="H155" s="190">
        <v>330</v>
      </c>
      <c r="I155" s="170">
        <v>2.5495999999999999</v>
      </c>
      <c r="J155" s="190">
        <v>85.168260869565216</v>
      </c>
      <c r="K155" s="200">
        <f>AVERAGE(D155:D158)</f>
        <v>280</v>
      </c>
      <c r="L155" s="200">
        <f t="shared" ref="L155:P155" si="455">AVERAGE(E155:E158)</f>
        <v>250</v>
      </c>
      <c r="M155" s="200">
        <f t="shared" si="455"/>
        <v>216.25</v>
      </c>
      <c r="N155" s="200">
        <f t="shared" si="455"/>
        <v>333.75</v>
      </c>
      <c r="O155" s="200">
        <f t="shared" si="455"/>
        <v>357.5</v>
      </c>
      <c r="P155" s="200">
        <f t="shared" si="455"/>
        <v>2.6386499999999997</v>
      </c>
      <c r="Q155" s="171">
        <f t="shared" si="439"/>
        <v>2.0833333333333332E-2</v>
      </c>
      <c r="R155" s="171">
        <f t="shared" si="440"/>
        <v>0.25</v>
      </c>
      <c r="S155" s="171">
        <f t="shared" si="441"/>
        <v>-7.0422535211267609E-2</v>
      </c>
      <c r="T155" s="171">
        <f t="shared" si="442"/>
        <v>-3.5557573006506395E-2</v>
      </c>
      <c r="U155" s="171">
        <f t="shared" si="443"/>
        <v>0</v>
      </c>
      <c r="V155" s="171">
        <f t="shared" si="421"/>
        <v>0</v>
      </c>
      <c r="W155" s="171">
        <f t="shared" si="444"/>
        <v>0</v>
      </c>
      <c r="X155" s="172">
        <f t="shared" si="422"/>
        <v>0.28947368421052633</v>
      </c>
      <c r="Y155" s="172">
        <f t="shared" si="423"/>
        <v>0.3559322033898305</v>
      </c>
      <c r="Z155" s="172">
        <f t="shared" si="424"/>
        <v>-6.7796610169491525E-2</v>
      </c>
      <c r="AA155" s="172">
        <f t="shared" si="425"/>
        <v>-3.4973504920514938E-2</v>
      </c>
      <c r="AB155" s="172">
        <f t="shared" si="426"/>
        <v>6.3154080604931148E-2</v>
      </c>
      <c r="AC155" s="172">
        <f t="shared" si="399"/>
        <v>-0.15151515151515152</v>
      </c>
      <c r="AD155" s="172">
        <f t="shared" ref="AD155" si="456">(E155-E159)/E159</f>
        <v>-0.16666666666666666</v>
      </c>
      <c r="AE155" s="172">
        <f t="shared" si="428"/>
        <v>-0.25304878048780488</v>
      </c>
      <c r="AF155" s="172">
        <f t="shared" si="429"/>
        <v>-0.56756756756756754</v>
      </c>
      <c r="AG155" s="172">
        <f t="shared" si="430"/>
        <v>-0.35294117647058826</v>
      </c>
      <c r="AH155" s="172">
        <f t="shared" si="431"/>
        <v>-0.7280368647864488</v>
      </c>
      <c r="AI155" s="172">
        <f t="shared" si="432"/>
        <v>-0.12775905138058333</v>
      </c>
      <c r="AJ155" s="172">
        <f t="shared" si="401"/>
        <v>-0.49090909090909091</v>
      </c>
      <c r="AK155" s="172">
        <f t="shared" ref="AK155" si="457">(E155-E207)/E207</f>
        <v>-0.5</v>
      </c>
    </row>
    <row r="156" spans="1:37" x14ac:dyDescent="0.3">
      <c r="A156" s="169">
        <v>45156</v>
      </c>
      <c r="B156" s="159">
        <f t="shared" si="436"/>
        <v>2023</v>
      </c>
      <c r="C156" s="159">
        <f t="shared" si="437"/>
        <v>8</v>
      </c>
      <c r="D156" s="190">
        <f>AVERAGEIFS(data!G:G,data!A:A,'weekly-forecast'!B156,data!B:B,'weekly-forecast'!C156)</f>
        <v>280</v>
      </c>
      <c r="E156" s="190">
        <f>AVERAGEIFS(data!F:F,data!A:A,'weekly-forecast'!B156,data!B:B,'weekly-forecast'!C156)</f>
        <v>250</v>
      </c>
      <c r="F156" s="190">
        <v>240</v>
      </c>
      <c r="G156" s="190">
        <v>320</v>
      </c>
      <c r="H156" s="190">
        <v>355</v>
      </c>
      <c r="I156" s="170">
        <v>2.6436000000000002</v>
      </c>
      <c r="J156" s="190">
        <v>85.168260869565216</v>
      </c>
      <c r="K156" s="201"/>
      <c r="L156" s="201"/>
      <c r="M156" s="201"/>
      <c r="N156" s="201"/>
      <c r="O156" s="201"/>
      <c r="P156" s="201"/>
      <c r="Q156" s="171">
        <f t="shared" si="439"/>
        <v>0.26315789473684209</v>
      </c>
      <c r="R156" s="171">
        <f t="shared" si="440"/>
        <v>0</v>
      </c>
      <c r="S156" s="171">
        <f t="shared" si="441"/>
        <v>1.4285714285714285E-2</v>
      </c>
      <c r="T156" s="171">
        <f t="shared" si="442"/>
        <v>-5.5452336715735087E-2</v>
      </c>
      <c r="U156" s="171">
        <f t="shared" si="443"/>
        <v>0</v>
      </c>
      <c r="V156" s="171">
        <f t="shared" si="421"/>
        <v>0</v>
      </c>
      <c r="W156" s="171">
        <f t="shared" si="444"/>
        <v>0</v>
      </c>
      <c r="X156" s="172">
        <f t="shared" si="422"/>
        <v>0.57377049180327866</v>
      </c>
      <c r="Y156" s="172">
        <f t="shared" si="423"/>
        <v>-1.5384615384615385E-2</v>
      </c>
      <c r="Z156" s="172">
        <f t="shared" si="424"/>
        <v>0.13600000000000001</v>
      </c>
      <c r="AA156" s="172">
        <f t="shared" si="425"/>
        <v>3.0270924776748591E-4</v>
      </c>
      <c r="AB156" s="172">
        <f t="shared" si="426"/>
        <v>6.3154080604931148E-2</v>
      </c>
      <c r="AC156" s="172">
        <f t="shared" si="399"/>
        <v>-0.15151515151515152</v>
      </c>
      <c r="AD156" s="172">
        <f t="shared" ref="AD156" si="458">(E156-E160)/E160</f>
        <v>-0.16666666666666666</v>
      </c>
      <c r="AE156" s="172">
        <f t="shared" si="428"/>
        <v>-0.25811437403400311</v>
      </c>
      <c r="AF156" s="172">
        <f t="shared" si="429"/>
        <v>-0.65405405405405403</v>
      </c>
      <c r="AG156" s="172">
        <f t="shared" si="430"/>
        <v>-0.30392156862745096</v>
      </c>
      <c r="AH156" s="172">
        <f t="shared" si="431"/>
        <v>-0.7115548281505728</v>
      </c>
      <c r="AI156" s="172">
        <f t="shared" si="432"/>
        <v>-0.12775905138058333</v>
      </c>
      <c r="AJ156" s="172">
        <f t="shared" si="401"/>
        <v>-0.49090909090909091</v>
      </c>
      <c r="AK156" s="172">
        <f t="shared" ref="AK156" si="459">(E156-E208)/E208</f>
        <v>-0.5</v>
      </c>
    </row>
    <row r="157" spans="1:37" x14ac:dyDescent="0.3">
      <c r="A157" s="169">
        <v>45149</v>
      </c>
      <c r="B157" s="159">
        <f t="shared" si="436"/>
        <v>2023</v>
      </c>
      <c r="C157" s="159">
        <f t="shared" si="437"/>
        <v>8</v>
      </c>
      <c r="D157" s="190">
        <f>AVERAGEIFS(data!G:G,data!A:A,'weekly-forecast'!B157,data!B:B,'weekly-forecast'!C157)</f>
        <v>280</v>
      </c>
      <c r="E157" s="190">
        <f>AVERAGEIFS(data!F:F,data!A:A,'weekly-forecast'!B157,data!B:B,'weekly-forecast'!C157)</f>
        <v>250</v>
      </c>
      <c r="F157" s="190">
        <v>190</v>
      </c>
      <c r="G157" s="190">
        <v>320</v>
      </c>
      <c r="H157" s="190">
        <v>350</v>
      </c>
      <c r="I157" s="170">
        <v>2.7987999999999995</v>
      </c>
      <c r="J157" s="190">
        <v>85.168260869565216</v>
      </c>
      <c r="K157" s="201"/>
      <c r="L157" s="201"/>
      <c r="M157" s="201"/>
      <c r="N157" s="201"/>
      <c r="O157" s="201"/>
      <c r="P157" s="201"/>
      <c r="Q157" s="171">
        <f t="shared" si="439"/>
        <v>0</v>
      </c>
      <c r="R157" s="171">
        <f t="shared" si="440"/>
        <v>8.4745762711864403E-2</v>
      </c>
      <c r="S157" s="171">
        <f t="shared" si="441"/>
        <v>-0.11392405063291139</v>
      </c>
      <c r="T157" s="171">
        <f t="shared" si="442"/>
        <v>9.2172012799500228E-2</v>
      </c>
      <c r="U157" s="171">
        <f t="shared" si="443"/>
        <v>0</v>
      </c>
      <c r="V157" s="171">
        <f t="shared" si="421"/>
        <v>0</v>
      </c>
      <c r="W157" s="171">
        <f t="shared" si="444"/>
        <v>0</v>
      </c>
      <c r="X157" s="172">
        <f t="shared" si="422"/>
        <v>0.49019607843137253</v>
      </c>
      <c r="Y157" s="172">
        <f t="shared" si="423"/>
        <v>0.56097560975609762</v>
      </c>
      <c r="Z157" s="172">
        <f t="shared" si="424"/>
        <v>0.12903225806451613</v>
      </c>
      <c r="AA157" s="172">
        <f t="shared" si="425"/>
        <v>6.6941140591643702E-2</v>
      </c>
      <c r="AB157" s="172">
        <f t="shared" si="426"/>
        <v>6.3154080604931148E-2</v>
      </c>
      <c r="AC157" s="172">
        <f t="shared" si="399"/>
        <v>-0.15151515151515152</v>
      </c>
      <c r="AD157" s="172">
        <f t="shared" ref="AD157" si="460">(E157-E161)/E161</f>
        <v>-0.16666666666666666</v>
      </c>
      <c r="AE157" s="172">
        <f t="shared" si="428"/>
        <v>-0.41896024464831805</v>
      </c>
      <c r="AF157" s="172">
        <f t="shared" si="429"/>
        <v>-0.65405405405405403</v>
      </c>
      <c r="AG157" s="172">
        <f t="shared" si="430"/>
        <v>-0.39914163090128757</v>
      </c>
      <c r="AH157" s="172">
        <f t="shared" si="431"/>
        <v>-0.6608830514224785</v>
      </c>
      <c r="AI157" s="172">
        <f t="shared" si="432"/>
        <v>-0.12775905138058333</v>
      </c>
      <c r="AJ157" s="172">
        <f t="shared" si="401"/>
        <v>-0.49090909090909091</v>
      </c>
      <c r="AK157" s="172">
        <f t="shared" ref="AK157" si="461">(E157-E209)/E209</f>
        <v>-0.5</v>
      </c>
    </row>
    <row r="158" spans="1:37" x14ac:dyDescent="0.3">
      <c r="A158" s="169">
        <v>45142</v>
      </c>
      <c r="B158" s="159">
        <f t="shared" si="436"/>
        <v>2023</v>
      </c>
      <c r="C158" s="159">
        <f t="shared" si="437"/>
        <v>8</v>
      </c>
      <c r="D158" s="190">
        <f>AVERAGEIFS(data!G:G,data!A:A,'weekly-forecast'!B158,data!B:B,'weekly-forecast'!C158)</f>
        <v>280</v>
      </c>
      <c r="E158" s="190">
        <f>AVERAGEIFS(data!F:F,data!A:A,'weekly-forecast'!B158,data!B:B,'weekly-forecast'!C158)</f>
        <v>250</v>
      </c>
      <c r="F158" s="190">
        <v>190</v>
      </c>
      <c r="G158" s="190">
        <v>295</v>
      </c>
      <c r="H158" s="190">
        <v>395</v>
      </c>
      <c r="I158" s="170">
        <v>2.5626000000000002</v>
      </c>
      <c r="J158" s="190">
        <v>85.168260869565216</v>
      </c>
      <c r="K158" s="202"/>
      <c r="L158" s="202"/>
      <c r="M158" s="202"/>
      <c r="N158" s="202"/>
      <c r="O158" s="202"/>
      <c r="P158" s="202"/>
      <c r="Q158" s="171">
        <f t="shared" si="439"/>
        <v>0</v>
      </c>
      <c r="R158" s="171">
        <f t="shared" si="440"/>
        <v>0</v>
      </c>
      <c r="S158" s="171">
        <f t="shared" si="441"/>
        <v>0.11581920903954802</v>
      </c>
      <c r="T158" s="171">
        <f t="shared" si="442"/>
        <v>-3.0052990158970526E-2</v>
      </c>
      <c r="U158" s="171">
        <f t="shared" si="443"/>
        <v>6.3154080604931148E-2</v>
      </c>
      <c r="V158" s="171">
        <f t="shared" si="421"/>
        <v>-0.15151515151515152</v>
      </c>
      <c r="W158" s="171">
        <f t="shared" si="444"/>
        <v>-0.16666666666666666</v>
      </c>
      <c r="X158" s="172">
        <f t="shared" si="422"/>
        <v>0.49019607843137253</v>
      </c>
      <c r="Y158" s="172">
        <f t="shared" si="423"/>
        <v>0.43902439024390244</v>
      </c>
      <c r="Z158" s="172">
        <f t="shared" si="424"/>
        <v>0.60243407707910746</v>
      </c>
      <c r="AA158" s="172">
        <f t="shared" si="425"/>
        <v>-2.9042341574310838E-2</v>
      </c>
      <c r="AB158" s="172">
        <f t="shared" si="426"/>
        <v>6.3154080604931148E-2</v>
      </c>
      <c r="AC158" s="172">
        <f t="shared" si="399"/>
        <v>-0.15151515151515152</v>
      </c>
      <c r="AD158" s="172">
        <f t="shared" ref="AD158" si="462">(E158-E162)/E162</f>
        <v>-0.16666666666666666</v>
      </c>
      <c r="AE158" s="172">
        <f t="shared" si="428"/>
        <v>-0.41896024464831805</v>
      </c>
      <c r="AF158" s="172">
        <f t="shared" si="429"/>
        <v>-0.68108108108108112</v>
      </c>
      <c r="AG158" s="172">
        <f t="shared" si="430"/>
        <v>-0.10935738444193913</v>
      </c>
      <c r="AH158" s="172">
        <f t="shared" si="431"/>
        <v>-0.68316807200613239</v>
      </c>
      <c r="AI158" s="172">
        <f t="shared" si="432"/>
        <v>-0.12775905138058333</v>
      </c>
      <c r="AJ158" s="172">
        <f t="shared" si="401"/>
        <v>-0.49090909090909091</v>
      </c>
      <c r="AK158" s="172">
        <f t="shared" ref="AK158" si="463">(E158-E210)/E210</f>
        <v>-0.5</v>
      </c>
    </row>
    <row r="159" spans="1:37" x14ac:dyDescent="0.3">
      <c r="A159" s="169">
        <v>45135</v>
      </c>
      <c r="B159" s="159">
        <f t="shared" si="436"/>
        <v>2023</v>
      </c>
      <c r="C159" s="159">
        <f t="shared" si="437"/>
        <v>7</v>
      </c>
      <c r="D159" s="190">
        <f>AVERAGEIFS(data!G:G,data!A:A,'weekly-forecast'!B159,data!B:B,'weekly-forecast'!C159)</f>
        <v>330</v>
      </c>
      <c r="E159" s="190">
        <f>AVERAGEIFS(data!F:F,data!A:A,'weekly-forecast'!B159,data!B:B,'weekly-forecast'!C159)</f>
        <v>300</v>
      </c>
      <c r="F159" s="190">
        <v>190</v>
      </c>
      <c r="G159" s="190">
        <v>295</v>
      </c>
      <c r="H159" s="190">
        <v>354</v>
      </c>
      <c r="I159" s="170">
        <v>2.6420000000000003</v>
      </c>
      <c r="J159" s="190">
        <v>80.109047619047615</v>
      </c>
      <c r="K159" s="200">
        <f>AVERAGE(D159:D162)</f>
        <v>330</v>
      </c>
      <c r="L159" s="200">
        <f t="shared" ref="L159:P159" si="464">AVERAGE(E159:E162)</f>
        <v>300</v>
      </c>
      <c r="M159" s="200">
        <f t="shared" si="464"/>
        <v>149.375</v>
      </c>
      <c r="N159" s="200">
        <f t="shared" si="464"/>
        <v>257.5</v>
      </c>
      <c r="O159" s="200">
        <f t="shared" si="464"/>
        <v>305.75</v>
      </c>
      <c r="P159" s="200">
        <f t="shared" si="464"/>
        <v>2.6368125</v>
      </c>
      <c r="Q159" s="171">
        <f t="shared" si="439"/>
        <v>0.24590163934426229</v>
      </c>
      <c r="R159" s="171">
        <f t="shared" si="440"/>
        <v>-9.2307692307692313E-2</v>
      </c>
      <c r="S159" s="171">
        <f t="shared" si="441"/>
        <v>0.1328</v>
      </c>
      <c r="T159" s="171">
        <f t="shared" si="442"/>
        <v>-3.0270924776748591E-4</v>
      </c>
      <c r="U159" s="171">
        <f t="shared" si="443"/>
        <v>0</v>
      </c>
      <c r="V159" s="171">
        <f t="shared" si="421"/>
        <v>0</v>
      </c>
      <c r="W159" s="171">
        <f t="shared" si="444"/>
        <v>0</v>
      </c>
      <c r="X159" s="172">
        <f t="shared" si="422"/>
        <v>0.46153846153846156</v>
      </c>
      <c r="Y159" s="172">
        <f t="shared" si="423"/>
        <v>0.43902439024390244</v>
      </c>
      <c r="Z159" s="172">
        <f t="shared" si="424"/>
        <v>0.43610547667342797</v>
      </c>
      <c r="AA159" s="172">
        <f t="shared" si="425"/>
        <v>-3.2659636789689493E-2</v>
      </c>
      <c r="AB159" s="172">
        <f t="shared" si="426"/>
        <v>6.8476793851918918E-2</v>
      </c>
      <c r="AC159" s="172">
        <f t="shared" si="399"/>
        <v>0</v>
      </c>
      <c r="AD159" s="172">
        <f t="shared" ref="AD159" si="465">(E159-E163)/E163</f>
        <v>0</v>
      </c>
      <c r="AE159" s="172" t="e">
        <f>(F159-#REF!)/#REF!</f>
        <v>#REF!</v>
      </c>
      <c r="AF159" s="172" t="e">
        <f>(G159-#REF!)/#REF!</f>
        <v>#REF!</v>
      </c>
      <c r="AG159" s="172" t="e">
        <f>(H159-#REF!)/#REF!</f>
        <v>#REF!</v>
      </c>
      <c r="AH159" s="172" t="e">
        <f>(I159-#REF!)/#REF!</f>
        <v>#REF!</v>
      </c>
      <c r="AI159" s="172" t="e">
        <f>(J159-#REF!)/#REF!</f>
        <v>#REF!</v>
      </c>
      <c r="AJ159" s="172" t="e">
        <f>(D159-#REF!)/#REF!</f>
        <v>#REF!</v>
      </c>
      <c r="AK159" s="172" t="e">
        <f>(E159-#REF!)/#REF!</f>
        <v>#REF!</v>
      </c>
    </row>
    <row r="160" spans="1:37" x14ac:dyDescent="0.3">
      <c r="A160" s="169">
        <v>45128</v>
      </c>
      <c r="B160" s="159">
        <f t="shared" si="436"/>
        <v>2023</v>
      </c>
      <c r="C160" s="159">
        <f t="shared" si="437"/>
        <v>7</v>
      </c>
      <c r="D160" s="190">
        <f>AVERAGEIFS(data!G:G,data!A:A,'weekly-forecast'!B160,data!B:B,'weekly-forecast'!C160)</f>
        <v>330</v>
      </c>
      <c r="E160" s="190">
        <f>AVERAGEIFS(data!F:F,data!A:A,'weekly-forecast'!B160,data!B:B,'weekly-forecast'!C160)</f>
        <v>300</v>
      </c>
      <c r="F160" s="190">
        <v>152.5</v>
      </c>
      <c r="G160" s="190">
        <v>325</v>
      </c>
      <c r="H160" s="190">
        <v>312.5</v>
      </c>
      <c r="I160" s="170">
        <v>2.6428000000000003</v>
      </c>
      <c r="J160" s="190">
        <v>80.109047619047615</v>
      </c>
      <c r="K160" s="201"/>
      <c r="L160" s="201"/>
      <c r="M160" s="201"/>
      <c r="N160" s="201"/>
      <c r="O160" s="201"/>
      <c r="P160" s="201"/>
      <c r="Q160" s="171">
        <f t="shared" si="439"/>
        <v>0.19607843137254902</v>
      </c>
      <c r="R160" s="171">
        <f t="shared" si="440"/>
        <v>0.58536585365853655</v>
      </c>
      <c r="S160" s="171">
        <f t="shared" si="441"/>
        <v>8.0645161290322578E-3</v>
      </c>
      <c r="T160" s="171">
        <f t="shared" si="442"/>
        <v>7.4717901799330995E-3</v>
      </c>
      <c r="U160" s="171">
        <f t="shared" si="443"/>
        <v>0</v>
      </c>
      <c r="V160" s="171">
        <f t="shared" si="421"/>
        <v>0</v>
      </c>
      <c r="W160" s="171">
        <f t="shared" si="444"/>
        <v>0</v>
      </c>
      <c r="X160" s="172">
        <f t="shared" si="422"/>
        <v>0.19607843137254902</v>
      </c>
      <c r="Y160" s="172">
        <f t="shared" si="423"/>
        <v>0.58536585365853655</v>
      </c>
      <c r="Z160" s="172">
        <f t="shared" si="424"/>
        <v>0.26774847870182555</v>
      </c>
      <c r="AA160" s="172">
        <f t="shared" si="425"/>
        <v>1.3926721657395232E-2</v>
      </c>
      <c r="AB160" s="172">
        <f t="shared" si="426"/>
        <v>6.8476793851918918E-2</v>
      </c>
      <c r="AC160" s="172">
        <f t="shared" si="399"/>
        <v>0</v>
      </c>
      <c r="AD160" s="172">
        <f t="shared" ref="AD160" si="466">(E160-E164)/E164</f>
        <v>0</v>
      </c>
      <c r="AE160" s="172" t="e">
        <f>(F160-#REF!)/#REF!</f>
        <v>#REF!</v>
      </c>
      <c r="AF160" s="172" t="e">
        <f>(G160-#REF!)/#REF!</f>
        <v>#REF!</v>
      </c>
      <c r="AG160" s="172" t="e">
        <f>(H160-#REF!)/#REF!</f>
        <v>#REF!</v>
      </c>
      <c r="AH160" s="172" t="e">
        <f>(I160-#REF!)/#REF!</f>
        <v>#REF!</v>
      </c>
      <c r="AI160" s="172" t="e">
        <f>(J160-#REF!)/#REF!</f>
        <v>#REF!</v>
      </c>
      <c r="AJ160" s="172" t="e">
        <f>(D160-#REF!)/#REF!</f>
        <v>#REF!</v>
      </c>
      <c r="AK160" s="172" t="e">
        <f>(E160-#REF!)/#REF!</f>
        <v>#REF!</v>
      </c>
    </row>
    <row r="161" spans="1:37" x14ac:dyDescent="0.3">
      <c r="A161" s="169">
        <v>45121</v>
      </c>
      <c r="B161" s="159">
        <f t="shared" si="436"/>
        <v>2023</v>
      </c>
      <c r="C161" s="159">
        <f t="shared" si="437"/>
        <v>7</v>
      </c>
      <c r="D161" s="190">
        <f>AVERAGEIFS(data!G:G,data!A:A,'weekly-forecast'!B161,data!B:B,'weekly-forecast'!C161)</f>
        <v>330</v>
      </c>
      <c r="E161" s="190">
        <f>AVERAGEIFS(data!F:F,data!A:A,'weekly-forecast'!B161,data!B:B,'weekly-forecast'!C161)</f>
        <v>300</v>
      </c>
      <c r="F161" s="190">
        <v>127.5</v>
      </c>
      <c r="G161" s="190">
        <v>205</v>
      </c>
      <c r="H161" s="190">
        <v>310</v>
      </c>
      <c r="I161" s="170">
        <v>2.6231999999999998</v>
      </c>
      <c r="J161" s="190">
        <v>80.109047619047615</v>
      </c>
      <c r="K161" s="201"/>
      <c r="L161" s="201"/>
      <c r="M161" s="201"/>
      <c r="N161" s="201"/>
      <c r="O161" s="201"/>
      <c r="P161" s="201"/>
      <c r="Q161" s="171">
        <f t="shared" si="439"/>
        <v>0</v>
      </c>
      <c r="R161" s="171">
        <f t="shared" si="440"/>
        <v>0</v>
      </c>
      <c r="S161" s="171">
        <f t="shared" si="441"/>
        <v>0.25760649087221094</v>
      </c>
      <c r="T161" s="171">
        <f t="shared" si="442"/>
        <v>-6.0812730889458523E-3</v>
      </c>
      <c r="U161" s="171">
        <f t="shared" si="443"/>
        <v>0</v>
      </c>
      <c r="V161" s="171">
        <f t="shared" si="421"/>
        <v>0</v>
      </c>
      <c r="W161" s="171">
        <f t="shared" si="444"/>
        <v>0</v>
      </c>
      <c r="X161" s="172">
        <f t="shared" si="422"/>
        <v>0</v>
      </c>
      <c r="Y161" s="172">
        <f t="shared" si="423"/>
        <v>0</v>
      </c>
      <c r="Z161" s="172">
        <f t="shared" si="424"/>
        <v>0.22772277227722773</v>
      </c>
      <c r="AA161" s="172">
        <f t="shared" si="425"/>
        <v>8.2803599438619521E-2</v>
      </c>
      <c r="AB161" s="172">
        <f t="shared" si="426"/>
        <v>6.8476793851918918E-2</v>
      </c>
      <c r="AC161" s="172">
        <f t="shared" si="399"/>
        <v>0</v>
      </c>
      <c r="AD161" s="172">
        <f t="shared" ref="AD161" si="467">(E161-E165)/E165</f>
        <v>0</v>
      </c>
      <c r="AE161" s="172" t="e">
        <f>(F161-#REF!)/#REF!</f>
        <v>#REF!</v>
      </c>
      <c r="AF161" s="172" t="e">
        <f>(G161-#REF!)/#REF!</f>
        <v>#REF!</v>
      </c>
      <c r="AG161" s="172" t="e">
        <f>(H161-#REF!)/#REF!</f>
        <v>#REF!</v>
      </c>
      <c r="AH161" s="172" t="e">
        <f>(I161-#REF!)/#REF!</f>
        <v>#REF!</v>
      </c>
      <c r="AI161" s="172" t="e">
        <f>(J161-#REF!)/#REF!</f>
        <v>#REF!</v>
      </c>
      <c r="AJ161" s="172" t="e">
        <f>(D161-#REF!)/#REF!</f>
        <v>#REF!</v>
      </c>
      <c r="AK161" s="172" t="e">
        <f>(E161-#REF!)/#REF!</f>
        <v>#REF!</v>
      </c>
    </row>
    <row r="162" spans="1:37" x14ac:dyDescent="0.3">
      <c r="A162" s="169">
        <v>45114</v>
      </c>
      <c r="B162" s="159">
        <f t="shared" si="436"/>
        <v>2023</v>
      </c>
      <c r="C162" s="159">
        <f t="shared" si="437"/>
        <v>7</v>
      </c>
      <c r="D162" s="190">
        <f>AVERAGEIFS(data!G:G,data!A:A,'weekly-forecast'!B162,data!B:B,'weekly-forecast'!C162)</f>
        <v>330</v>
      </c>
      <c r="E162" s="190">
        <f>AVERAGEIFS(data!F:F,data!A:A,'weekly-forecast'!B162,data!B:B,'weekly-forecast'!C162)</f>
        <v>300</v>
      </c>
      <c r="F162" s="190">
        <v>127.5</v>
      </c>
      <c r="G162" s="190">
        <v>205</v>
      </c>
      <c r="H162" s="190">
        <v>246.5</v>
      </c>
      <c r="I162" s="170">
        <v>2.6392500000000001</v>
      </c>
      <c r="J162" s="190">
        <v>80.109047619047615</v>
      </c>
      <c r="K162" s="202"/>
      <c r="L162" s="202"/>
      <c r="M162" s="202"/>
      <c r="N162" s="202"/>
      <c r="O162" s="202"/>
      <c r="P162" s="202"/>
      <c r="Q162" s="171">
        <f t="shared" si="439"/>
        <v>-1.9230769230769232E-2</v>
      </c>
      <c r="R162" s="171">
        <f t="shared" si="440"/>
        <v>0</v>
      </c>
      <c r="S162" s="171">
        <f t="shared" si="441"/>
        <v>0</v>
      </c>
      <c r="T162" s="171">
        <f t="shared" si="442"/>
        <v>-3.3666520210896375E-2</v>
      </c>
      <c r="U162" s="171">
        <f t="shared" si="443"/>
        <v>6.8476793851918918E-2</v>
      </c>
      <c r="V162" s="171">
        <f t="shared" si="421"/>
        <v>0</v>
      </c>
      <c r="W162" s="171">
        <f t="shared" si="444"/>
        <v>0</v>
      </c>
      <c r="X162" s="172">
        <f t="shared" si="422"/>
        <v>-0.15</v>
      </c>
      <c r="Y162" s="172">
        <f t="shared" si="423"/>
        <v>0</v>
      </c>
      <c r="Z162" s="172">
        <f t="shared" si="424"/>
        <v>-3.3333333333333333E-2</v>
      </c>
      <c r="AA162" s="172">
        <f t="shared" si="425"/>
        <v>0.15331672784478231</v>
      </c>
      <c r="AB162" s="172">
        <f t="shared" si="426"/>
        <v>6.8476793851918918E-2</v>
      </c>
      <c r="AC162" s="172">
        <f t="shared" si="399"/>
        <v>0</v>
      </c>
      <c r="AD162" s="172">
        <f t="shared" ref="AD162" si="468">(E162-E166)/E166</f>
        <v>0</v>
      </c>
      <c r="AE162" s="172" t="e">
        <f>(F162-#REF!)/#REF!</f>
        <v>#REF!</v>
      </c>
      <c r="AF162" s="172" t="e">
        <f>(G162-#REF!)/#REF!</f>
        <v>#REF!</v>
      </c>
      <c r="AG162" s="172" t="e">
        <f>(H162-#REF!)/#REF!</f>
        <v>#REF!</v>
      </c>
      <c r="AH162" s="172" t="e">
        <f>(I162-#REF!)/#REF!</f>
        <v>#REF!</v>
      </c>
      <c r="AI162" s="172" t="e">
        <f>(J162-#REF!)/#REF!</f>
        <v>#REF!</v>
      </c>
      <c r="AJ162" s="172" t="e">
        <f>(D162-#REF!)/#REF!</f>
        <v>#REF!</v>
      </c>
      <c r="AK162" s="172" t="e">
        <f>(E162-#REF!)/#REF!</f>
        <v>#REF!</v>
      </c>
    </row>
    <row r="163" spans="1:37" x14ac:dyDescent="0.3">
      <c r="A163" s="169">
        <v>45107</v>
      </c>
      <c r="B163" s="159">
        <f t="shared" si="436"/>
        <v>2023</v>
      </c>
      <c r="C163" s="159">
        <f t="shared" si="437"/>
        <v>6</v>
      </c>
      <c r="D163" s="190">
        <f>AVERAGEIFS(data!G:G,data!A:A,'weekly-forecast'!B163,data!B:B,'weekly-forecast'!C163)</f>
        <v>330</v>
      </c>
      <c r="E163" s="190">
        <f>AVERAGEIFS(data!F:F,data!A:A,'weekly-forecast'!B163,data!B:B,'weekly-forecast'!C163)</f>
        <v>300</v>
      </c>
      <c r="F163" s="190">
        <v>130</v>
      </c>
      <c r="G163" s="190">
        <v>205</v>
      </c>
      <c r="H163" s="190">
        <v>246.5</v>
      </c>
      <c r="I163" s="170">
        <v>2.7312000000000003</v>
      </c>
      <c r="J163" s="190">
        <v>74.974999999999994</v>
      </c>
      <c r="K163" s="200">
        <f>AVERAGE(D163:D167)</f>
        <v>330</v>
      </c>
      <c r="L163" s="200">
        <f t="shared" ref="L163:P163" si="469">AVERAGE(E163:E167)</f>
        <v>300</v>
      </c>
      <c r="M163" s="200">
        <f t="shared" si="469"/>
        <v>136.5</v>
      </c>
      <c r="N163" s="200">
        <f t="shared" si="469"/>
        <v>206</v>
      </c>
      <c r="O163" s="200">
        <f t="shared" si="469"/>
        <v>254.1</v>
      </c>
      <c r="P163" s="200">
        <f t="shared" si="469"/>
        <v>2.4558900000000001</v>
      </c>
      <c r="Q163" s="171">
        <f t="shared" si="439"/>
        <v>1.9607843137254902E-2</v>
      </c>
      <c r="R163" s="171">
        <f t="shared" si="440"/>
        <v>0</v>
      </c>
      <c r="S163" s="171">
        <f t="shared" si="441"/>
        <v>0</v>
      </c>
      <c r="T163" s="171">
        <f t="shared" si="442"/>
        <v>4.7841933627470065E-2</v>
      </c>
      <c r="U163" s="171">
        <f t="shared" si="443"/>
        <v>0</v>
      </c>
      <c r="V163" s="171">
        <f t="shared" si="421"/>
        <v>0</v>
      </c>
      <c r="W163" s="171">
        <f t="shared" si="444"/>
        <v>0</v>
      </c>
      <c r="X163" s="172">
        <f t="shared" si="422"/>
        <v>-0.11864406779661017</v>
      </c>
      <c r="Y163" s="172">
        <f t="shared" si="423"/>
        <v>-2.3809523809523808E-2</v>
      </c>
      <c r="Z163" s="172">
        <f t="shared" si="424"/>
        <v>-8.7037037037037038E-2</v>
      </c>
      <c r="AA163" s="172">
        <f t="shared" si="425"/>
        <v>0.22434158915163074</v>
      </c>
      <c r="AB163" s="172">
        <f t="shared" si="426"/>
        <v>0</v>
      </c>
      <c r="AC163" s="172">
        <f t="shared" si="399"/>
        <v>0</v>
      </c>
      <c r="AD163" s="172">
        <f t="shared" ref="AD163" si="470">(E163-E167)/E167</f>
        <v>0</v>
      </c>
      <c r="AE163" s="172" t="e">
        <f>(F163-#REF!)/#REF!</f>
        <v>#REF!</v>
      </c>
      <c r="AF163" s="172" t="e">
        <f>(G163-#REF!)/#REF!</f>
        <v>#REF!</v>
      </c>
      <c r="AG163" s="172" t="e">
        <f>(H163-#REF!)/#REF!</f>
        <v>#REF!</v>
      </c>
      <c r="AH163" s="172" t="e">
        <f>(I163-#REF!)/#REF!</f>
        <v>#REF!</v>
      </c>
      <c r="AI163" s="172" t="e">
        <f>(J163-#REF!)/#REF!</f>
        <v>#REF!</v>
      </c>
      <c r="AJ163" s="172" t="e">
        <f>(D163-#REF!)/#REF!</f>
        <v>#REF!</v>
      </c>
      <c r="AK163" s="172" t="e">
        <f>(E163-#REF!)/#REF!</f>
        <v>#REF!</v>
      </c>
    </row>
    <row r="164" spans="1:37" x14ac:dyDescent="0.3">
      <c r="A164" s="169">
        <v>45100</v>
      </c>
      <c r="B164" s="159">
        <f t="shared" si="436"/>
        <v>2023</v>
      </c>
      <c r="C164" s="159">
        <f t="shared" si="437"/>
        <v>6</v>
      </c>
      <c r="D164" s="190">
        <f>AVERAGEIFS(data!G:G,data!A:A,'weekly-forecast'!B164,data!B:B,'weekly-forecast'!C164)</f>
        <v>330</v>
      </c>
      <c r="E164" s="190">
        <f>AVERAGEIFS(data!F:F,data!A:A,'weekly-forecast'!B164,data!B:B,'weekly-forecast'!C164)</f>
        <v>300</v>
      </c>
      <c r="F164" s="190">
        <v>127.5</v>
      </c>
      <c r="G164" s="190">
        <v>205</v>
      </c>
      <c r="H164" s="190">
        <v>246.5</v>
      </c>
      <c r="I164" s="170">
        <v>2.6064999999999996</v>
      </c>
      <c r="J164" s="190">
        <v>74.974999999999994</v>
      </c>
      <c r="K164" s="201"/>
      <c r="L164" s="201"/>
      <c r="M164" s="201"/>
      <c r="N164" s="201"/>
      <c r="O164" s="201"/>
      <c r="P164" s="201"/>
      <c r="Q164" s="171">
        <f t="shared" si="439"/>
        <v>0</v>
      </c>
      <c r="R164" s="171">
        <f t="shared" si="440"/>
        <v>0</v>
      </c>
      <c r="S164" s="171">
        <f t="shared" si="441"/>
        <v>-2.3762376237623763E-2</v>
      </c>
      <c r="T164" s="171">
        <f t="shared" si="442"/>
        <v>7.5910179146371465E-2</v>
      </c>
      <c r="U164" s="171">
        <f t="shared" si="443"/>
        <v>0</v>
      </c>
      <c r="V164" s="171">
        <f t="shared" si="421"/>
        <v>0</v>
      </c>
      <c r="W164" s="171">
        <f t="shared" si="444"/>
        <v>0</v>
      </c>
      <c r="X164" s="172">
        <f t="shared" si="422"/>
        <v>-0.27142857142857141</v>
      </c>
      <c r="Y164" s="172">
        <f t="shared" si="423"/>
        <v>-7.8651685393258425E-2</v>
      </c>
      <c r="Z164" s="172">
        <f t="shared" si="424"/>
        <v>-0.11964285714285715</v>
      </c>
      <c r="AA164" s="172">
        <f t="shared" si="425"/>
        <v>0.1228138192470061</v>
      </c>
      <c r="AB164" s="172">
        <f t="shared" si="426"/>
        <v>-1.0196936040271267E-2</v>
      </c>
      <c r="AC164" s="172">
        <f t="shared" si="399"/>
        <v>0</v>
      </c>
      <c r="AD164" s="172">
        <f t="shared" ref="AD164" si="471">(E164-E168)/E168</f>
        <v>-0.34782608695652173</v>
      </c>
      <c r="AE164" s="172" t="e">
        <f>(F164-#REF!)/#REF!</f>
        <v>#REF!</v>
      </c>
      <c r="AF164" s="172" t="e">
        <f>(G164-#REF!)/#REF!</f>
        <v>#REF!</v>
      </c>
      <c r="AG164" s="172" t="e">
        <f>(H164-#REF!)/#REF!</f>
        <v>#REF!</v>
      </c>
      <c r="AH164" s="172" t="e">
        <f>(I164-#REF!)/#REF!</f>
        <v>#REF!</v>
      </c>
      <c r="AI164" s="172" t="e">
        <f>(J164-#REF!)/#REF!</f>
        <v>#REF!</v>
      </c>
      <c r="AJ164" s="172" t="e">
        <f>(D164-#REF!)/#REF!</f>
        <v>#REF!</v>
      </c>
      <c r="AK164" s="172" t="e">
        <f>(E164-#REF!)/#REF!</f>
        <v>#REF!</v>
      </c>
    </row>
    <row r="165" spans="1:37" x14ac:dyDescent="0.3">
      <c r="A165" s="169">
        <v>45093</v>
      </c>
      <c r="B165" s="159">
        <f t="shared" si="436"/>
        <v>2023</v>
      </c>
      <c r="C165" s="159">
        <f t="shared" si="437"/>
        <v>6</v>
      </c>
      <c r="D165" s="190">
        <f>AVERAGEIFS(data!G:G,data!A:A,'weekly-forecast'!B165,data!B:B,'weekly-forecast'!C165)</f>
        <v>330</v>
      </c>
      <c r="E165" s="190">
        <f>AVERAGEIFS(data!F:F,data!A:A,'weekly-forecast'!B165,data!B:B,'weekly-forecast'!C165)</f>
        <v>300</v>
      </c>
      <c r="F165" s="190">
        <v>127.5</v>
      </c>
      <c r="G165" s="190">
        <v>205</v>
      </c>
      <c r="H165" s="190">
        <v>252.5</v>
      </c>
      <c r="I165" s="170">
        <v>2.4226000000000001</v>
      </c>
      <c r="J165" s="190">
        <v>74.974999999999994</v>
      </c>
      <c r="K165" s="201"/>
      <c r="L165" s="201"/>
      <c r="M165" s="201"/>
      <c r="N165" s="201"/>
      <c r="O165" s="201"/>
      <c r="P165" s="201"/>
      <c r="Q165" s="171">
        <f t="shared" si="439"/>
        <v>-0.15</v>
      </c>
      <c r="R165" s="171">
        <f t="shared" si="440"/>
        <v>0</v>
      </c>
      <c r="S165" s="171">
        <f t="shared" si="441"/>
        <v>-9.8039215686274508E-3</v>
      </c>
      <c r="T165" s="171">
        <f t="shared" si="442"/>
        <v>5.8643593777311598E-2</v>
      </c>
      <c r="U165" s="171">
        <f t="shared" si="443"/>
        <v>0</v>
      </c>
      <c r="V165" s="171">
        <f t="shared" si="421"/>
        <v>0</v>
      </c>
      <c r="W165" s="171">
        <f t="shared" si="444"/>
        <v>0</v>
      </c>
      <c r="X165" s="172">
        <f t="shared" si="422"/>
        <v>-0.2608695652173913</v>
      </c>
      <c r="Y165" s="172">
        <f t="shared" si="423"/>
        <v>-0.17171717171717171</v>
      </c>
      <c r="Z165" s="172">
        <f t="shared" si="424"/>
        <v>-0.15126050420168066</v>
      </c>
      <c r="AA165" s="172">
        <f t="shared" si="425"/>
        <v>-1.4642479459855036E-2</v>
      </c>
      <c r="AB165" s="172">
        <f t="shared" si="426"/>
        <v>-1.0196936040271267E-2</v>
      </c>
      <c r="AC165" s="172">
        <f t="shared" si="399"/>
        <v>0</v>
      </c>
      <c r="AD165" s="172">
        <f t="shared" ref="AD165" si="472">(E165-E169)/E169</f>
        <v>-0.34782608695652173</v>
      </c>
      <c r="AE165" s="172" t="e">
        <f>(F165-#REF!)/#REF!</f>
        <v>#REF!</v>
      </c>
      <c r="AF165" s="172" t="e">
        <f>(G165-#REF!)/#REF!</f>
        <v>#REF!</v>
      </c>
      <c r="AG165" s="172" t="e">
        <f>(H165-#REF!)/#REF!</f>
        <v>#REF!</v>
      </c>
      <c r="AH165" s="172" t="e">
        <f>(I165-#REF!)/#REF!</f>
        <v>#REF!</v>
      </c>
      <c r="AI165" s="172" t="e">
        <f>(J165-#REF!)/#REF!</f>
        <v>#REF!</v>
      </c>
      <c r="AJ165" s="172" t="e">
        <f>(D165-#REF!)/#REF!</f>
        <v>#REF!</v>
      </c>
      <c r="AK165" s="172" t="e">
        <f>(E165-#REF!)/#REF!</f>
        <v>#REF!</v>
      </c>
    </row>
    <row r="166" spans="1:37" x14ac:dyDescent="0.3">
      <c r="A166" s="169">
        <v>45086</v>
      </c>
      <c r="B166" s="159">
        <f t="shared" si="436"/>
        <v>2023</v>
      </c>
      <c r="C166" s="159">
        <f t="shared" si="437"/>
        <v>6</v>
      </c>
      <c r="D166" s="190">
        <f>AVERAGEIFS(data!G:G,data!A:A,'weekly-forecast'!B166,data!B:B,'weekly-forecast'!C166)</f>
        <v>330</v>
      </c>
      <c r="E166" s="190">
        <f>AVERAGEIFS(data!F:F,data!A:A,'weekly-forecast'!B166,data!B:B,'weekly-forecast'!C166)</f>
        <v>300</v>
      </c>
      <c r="F166" s="190">
        <v>150</v>
      </c>
      <c r="G166" s="190">
        <v>205</v>
      </c>
      <c r="H166" s="190">
        <v>255</v>
      </c>
      <c r="I166" s="170">
        <v>2.2884000000000002</v>
      </c>
      <c r="J166" s="190">
        <v>74.974999999999994</v>
      </c>
      <c r="K166" s="201"/>
      <c r="L166" s="201"/>
      <c r="M166" s="201"/>
      <c r="N166" s="201"/>
      <c r="O166" s="201"/>
      <c r="P166" s="201"/>
      <c r="Q166" s="171">
        <f t="shared" si="439"/>
        <v>1.6949152542372881E-2</v>
      </c>
      <c r="R166" s="171">
        <f t="shared" si="440"/>
        <v>-2.3809523809523808E-2</v>
      </c>
      <c r="S166" s="171">
        <f t="shared" si="441"/>
        <v>-5.5555555555555552E-2</v>
      </c>
      <c r="T166" s="171">
        <f t="shared" si="442"/>
        <v>2.5843326235571087E-2</v>
      </c>
      <c r="U166" s="171">
        <f t="shared" si="443"/>
        <v>0</v>
      </c>
      <c r="V166" s="171">
        <f t="shared" si="421"/>
        <v>0</v>
      </c>
      <c r="W166" s="171">
        <f t="shared" si="444"/>
        <v>0</v>
      </c>
      <c r="X166" s="172">
        <f t="shared" si="422"/>
        <v>-0.13043478260869565</v>
      </c>
      <c r="Y166" s="172">
        <f t="shared" si="423"/>
        <v>-0.17171717171717171</v>
      </c>
      <c r="Z166" s="172">
        <f t="shared" si="424"/>
        <v>-0.15702479338842976</v>
      </c>
      <c r="AA166" s="172">
        <f t="shared" si="425"/>
        <v>2.6004304160688788E-2</v>
      </c>
      <c r="AB166" s="172">
        <f t="shared" si="426"/>
        <v>-1.0196936040271267E-2</v>
      </c>
      <c r="AC166" s="172">
        <f t="shared" si="399"/>
        <v>0</v>
      </c>
      <c r="AD166" s="172">
        <f t="shared" ref="AD166" si="473">(E166-E170)/E170</f>
        <v>-0.34782608695652173</v>
      </c>
      <c r="AE166" s="172" t="e">
        <f>(F166-#REF!)/#REF!</f>
        <v>#REF!</v>
      </c>
      <c r="AF166" s="172" t="e">
        <f>(G166-#REF!)/#REF!</f>
        <v>#REF!</v>
      </c>
      <c r="AG166" s="172" t="e">
        <f>(H166-#REF!)/#REF!</f>
        <v>#REF!</v>
      </c>
      <c r="AH166" s="172" t="e">
        <f>(I166-#REF!)/#REF!</f>
        <v>#REF!</v>
      </c>
      <c r="AI166" s="172" t="e">
        <f>(J166-#REF!)/#REF!</f>
        <v>#REF!</v>
      </c>
      <c r="AJ166" s="172" t="e">
        <f>(D166-#REF!)/#REF!</f>
        <v>#REF!</v>
      </c>
      <c r="AK166" s="172" t="e">
        <f>(E166-#REF!)/#REF!</f>
        <v>#REF!</v>
      </c>
    </row>
    <row r="167" spans="1:37" x14ac:dyDescent="0.3">
      <c r="A167" s="169">
        <v>45079</v>
      </c>
      <c r="B167" s="159">
        <f t="shared" si="436"/>
        <v>2023</v>
      </c>
      <c r="C167" s="159">
        <f t="shared" si="437"/>
        <v>6</v>
      </c>
      <c r="D167" s="190">
        <f>AVERAGEIFS(data!G:G,data!A:A,'weekly-forecast'!B167,data!B:B,'weekly-forecast'!C167)</f>
        <v>330</v>
      </c>
      <c r="E167" s="190">
        <f>AVERAGEIFS(data!F:F,data!A:A,'weekly-forecast'!B167,data!B:B,'weekly-forecast'!C167)</f>
        <v>300</v>
      </c>
      <c r="F167" s="190">
        <v>147.5</v>
      </c>
      <c r="G167" s="190">
        <v>210</v>
      </c>
      <c r="H167" s="190">
        <v>270</v>
      </c>
      <c r="I167" s="170">
        <v>2.23075</v>
      </c>
      <c r="J167" s="190">
        <v>74.974999999999994</v>
      </c>
      <c r="K167" s="202"/>
      <c r="L167" s="202"/>
      <c r="M167" s="202"/>
      <c r="N167" s="202"/>
      <c r="O167" s="202"/>
      <c r="P167" s="202"/>
      <c r="Q167" s="171">
        <f t="shared" si="439"/>
        <v>-0.15714285714285714</v>
      </c>
      <c r="R167" s="171">
        <f t="shared" si="440"/>
        <v>-5.6179775280898875E-2</v>
      </c>
      <c r="S167" s="171">
        <f t="shared" si="441"/>
        <v>-3.5714285714285712E-2</v>
      </c>
      <c r="T167" s="171">
        <f t="shared" si="442"/>
        <v>-3.9049711381063015E-2</v>
      </c>
      <c r="U167" s="171">
        <f t="shared" si="443"/>
        <v>-1.0196936040271267E-2</v>
      </c>
      <c r="V167" s="171">
        <f t="shared" si="421"/>
        <v>0</v>
      </c>
      <c r="W167" s="171">
        <f t="shared" si="444"/>
        <v>-0.34782608695652173</v>
      </c>
      <c r="X167" s="172">
        <f t="shared" si="422"/>
        <v>-0.19178082191780821</v>
      </c>
      <c r="Y167" s="172">
        <f t="shared" si="423"/>
        <v>-0.15151515151515152</v>
      </c>
      <c r="Z167" s="172">
        <f t="shared" si="424"/>
        <v>-0.10743801652892562</v>
      </c>
      <c r="AA167" s="172">
        <f t="shared" si="425"/>
        <v>1.9538391224863023E-2</v>
      </c>
      <c r="AB167" s="172">
        <f t="shared" si="426"/>
        <v>-1.0196936040271267E-2</v>
      </c>
      <c r="AC167" s="172">
        <f t="shared" si="399"/>
        <v>0</v>
      </c>
      <c r="AD167" s="172">
        <f t="shared" ref="AD167" si="474">(E167-E171)/E171</f>
        <v>-0.34782608695652173</v>
      </c>
      <c r="AE167" s="172" t="e">
        <f>(F167-#REF!)/#REF!</f>
        <v>#REF!</v>
      </c>
      <c r="AF167" s="172" t="e">
        <f>(G167-#REF!)/#REF!</f>
        <v>#REF!</v>
      </c>
      <c r="AG167" s="172" t="e">
        <f>(H167-#REF!)/#REF!</f>
        <v>#REF!</v>
      </c>
      <c r="AH167" s="172" t="e">
        <f>(I167-#REF!)/#REF!</f>
        <v>#REF!</v>
      </c>
      <c r="AI167" s="172" t="e">
        <f>(J167-#REF!)/#REF!</f>
        <v>#REF!</v>
      </c>
      <c r="AJ167" s="172" t="e">
        <f>(D167-#REF!)/#REF!</f>
        <v>#REF!</v>
      </c>
      <c r="AK167" s="172" t="e">
        <f>(E167-#REF!)/#REF!</f>
        <v>#REF!</v>
      </c>
    </row>
    <row r="168" spans="1:37" x14ac:dyDescent="0.3">
      <c r="A168" s="169">
        <v>45072</v>
      </c>
      <c r="B168" s="159">
        <f t="shared" si="436"/>
        <v>2023</v>
      </c>
      <c r="C168" s="159">
        <f t="shared" si="437"/>
        <v>5</v>
      </c>
      <c r="D168" s="190">
        <f>AVERAGEIFS(data!G:G,data!A:A,'weekly-forecast'!B168,data!B:B,'weekly-forecast'!C168)</f>
        <v>330</v>
      </c>
      <c r="E168" s="190">
        <f>AVERAGEIFS(data!F:F,data!A:A,'weekly-forecast'!B168,data!B:B,'weekly-forecast'!C168)</f>
        <v>460</v>
      </c>
      <c r="F168" s="190">
        <v>175</v>
      </c>
      <c r="G168" s="190">
        <v>222.5</v>
      </c>
      <c r="H168" s="190">
        <v>280</v>
      </c>
      <c r="I168" s="170">
        <v>2.3213999999999997</v>
      </c>
      <c r="J168" s="190">
        <v>75.747391304347829</v>
      </c>
      <c r="K168" s="200">
        <f>AVERAGE(D168:D171)</f>
        <v>330</v>
      </c>
      <c r="L168" s="200">
        <f t="shared" ref="L168:P168" si="475">AVERAGE(E168:E171)</f>
        <v>460</v>
      </c>
      <c r="M168" s="200">
        <f t="shared" si="475"/>
        <v>175.625</v>
      </c>
      <c r="N168" s="200">
        <f t="shared" si="475"/>
        <v>241.25</v>
      </c>
      <c r="O168" s="200">
        <f t="shared" si="475"/>
        <v>295.625</v>
      </c>
      <c r="P168" s="200">
        <f t="shared" si="475"/>
        <v>2.2995999999999999</v>
      </c>
      <c r="Q168" s="171">
        <f t="shared" si="439"/>
        <v>1.4492753623188406E-2</v>
      </c>
      <c r="R168" s="171">
        <f t="shared" si="440"/>
        <v>-0.10101010101010101</v>
      </c>
      <c r="S168" s="171">
        <f t="shared" si="441"/>
        <v>-5.8823529411764705E-2</v>
      </c>
      <c r="T168" s="171">
        <f t="shared" si="442"/>
        <v>-5.5804116163670384E-2</v>
      </c>
      <c r="U168" s="171">
        <f t="shared" si="443"/>
        <v>0</v>
      </c>
      <c r="V168" s="171">
        <f t="shared" si="421"/>
        <v>0</v>
      </c>
      <c r="W168" s="171">
        <f t="shared" si="444"/>
        <v>0</v>
      </c>
      <c r="X168" s="172">
        <f t="shared" si="422"/>
        <v>-9.0909090909090912E-2</v>
      </c>
      <c r="Y168" s="172">
        <f t="shared" si="423"/>
        <v>-0.10101010101010101</v>
      </c>
      <c r="Z168" s="172">
        <f t="shared" si="424"/>
        <v>-7.43801652892562E-2</v>
      </c>
      <c r="AA168" s="172">
        <f t="shared" si="425"/>
        <v>1.2650497295410887E-2</v>
      </c>
      <c r="AB168" s="172">
        <f t="shared" si="426"/>
        <v>-9.3236553050806498E-2</v>
      </c>
      <c r="AC168" s="172">
        <f t="shared" si="399"/>
        <v>-0.4</v>
      </c>
      <c r="AD168" s="172">
        <f t="shared" ref="AD168" si="476">(E168-E172)/E172</f>
        <v>0</v>
      </c>
      <c r="AE168" s="172" t="e">
        <f>(F168-#REF!)/#REF!</f>
        <v>#REF!</v>
      </c>
      <c r="AF168" s="172" t="e">
        <f>(G168-#REF!)/#REF!</f>
        <v>#REF!</v>
      </c>
      <c r="AG168" s="172" t="e">
        <f>(H168-#REF!)/#REF!</f>
        <v>#REF!</v>
      </c>
      <c r="AH168" s="172" t="e">
        <f>(I168-#REF!)/#REF!</f>
        <v>#REF!</v>
      </c>
      <c r="AI168" s="172" t="e">
        <f>(J168-#REF!)/#REF!</f>
        <v>#REF!</v>
      </c>
      <c r="AJ168" s="172" t="e">
        <f>(D168-#REF!)/#REF!</f>
        <v>#REF!</v>
      </c>
      <c r="AK168" s="172" t="e">
        <f>(E168-#REF!)/#REF!</f>
        <v>#REF!</v>
      </c>
    </row>
    <row r="169" spans="1:37" x14ac:dyDescent="0.3">
      <c r="A169" s="169">
        <v>45065</v>
      </c>
      <c r="B169" s="159">
        <f t="shared" si="436"/>
        <v>2023</v>
      </c>
      <c r="C169" s="159">
        <f t="shared" si="437"/>
        <v>5</v>
      </c>
      <c r="D169" s="190">
        <f>AVERAGEIFS(data!G:G,data!A:A,'weekly-forecast'!B169,data!B:B,'weekly-forecast'!C169)</f>
        <v>330</v>
      </c>
      <c r="E169" s="190">
        <f>AVERAGEIFS(data!F:F,data!A:A,'weekly-forecast'!B169,data!B:B,'weekly-forecast'!C169)</f>
        <v>460</v>
      </c>
      <c r="F169" s="190">
        <v>172.5</v>
      </c>
      <c r="G169" s="190">
        <v>247.5</v>
      </c>
      <c r="H169" s="190">
        <v>297.5</v>
      </c>
      <c r="I169" s="170">
        <v>2.4585999999999997</v>
      </c>
      <c r="J169" s="190">
        <v>75.747391304347829</v>
      </c>
      <c r="K169" s="201"/>
      <c r="L169" s="201"/>
      <c r="M169" s="201"/>
      <c r="N169" s="201"/>
      <c r="O169" s="201"/>
      <c r="P169" s="201"/>
      <c r="Q169" s="171">
        <f t="shared" si="439"/>
        <v>0</v>
      </c>
      <c r="R169" s="171">
        <f t="shared" si="440"/>
        <v>0</v>
      </c>
      <c r="S169" s="171">
        <f t="shared" si="441"/>
        <v>-1.6528925619834711E-2</v>
      </c>
      <c r="T169" s="171">
        <f t="shared" si="442"/>
        <v>0.10231348637015771</v>
      </c>
      <c r="U169" s="171">
        <f t="shared" si="443"/>
        <v>0</v>
      </c>
      <c r="V169" s="171">
        <f t="shared" si="421"/>
        <v>0</v>
      </c>
      <c r="W169" s="171">
        <f t="shared" si="444"/>
        <v>0</v>
      </c>
      <c r="X169" s="172">
        <f t="shared" si="422"/>
        <v>-0.14814814814814814</v>
      </c>
      <c r="Y169" s="172">
        <f t="shared" si="423"/>
        <v>-6.6037735849056603E-2</v>
      </c>
      <c r="Z169" s="172">
        <f t="shared" si="424"/>
        <v>-1.6528925619834711E-2</v>
      </c>
      <c r="AA169" s="172">
        <f t="shared" si="425"/>
        <v>8.3561040105773268E-2</v>
      </c>
      <c r="AB169" s="172">
        <f t="shared" si="426"/>
        <v>-9.3236553050806498E-2</v>
      </c>
      <c r="AC169" s="172">
        <f t="shared" si="399"/>
        <v>-0.4</v>
      </c>
      <c r="AD169" s="172">
        <f t="shared" ref="AD169" si="477">(E169-E173)/E173</f>
        <v>0</v>
      </c>
      <c r="AE169" s="172" t="e">
        <f>(F169-#REF!)/#REF!</f>
        <v>#REF!</v>
      </c>
      <c r="AF169" s="172" t="e">
        <f>(G169-#REF!)/#REF!</f>
        <v>#REF!</v>
      </c>
      <c r="AG169" s="172" t="e">
        <f>(H169-#REF!)/#REF!</f>
        <v>#REF!</v>
      </c>
      <c r="AH169" s="172" t="e">
        <f>(I169-#REF!)/#REF!</f>
        <v>#REF!</v>
      </c>
      <c r="AI169" s="172" t="e">
        <f>(J169-#REF!)/#REF!</f>
        <v>#REF!</v>
      </c>
      <c r="AJ169" s="172" t="e">
        <f>(D169-#REF!)/#REF!</f>
        <v>#REF!</v>
      </c>
      <c r="AK169" s="172" t="e">
        <f>(E169-#REF!)/#REF!</f>
        <v>#REF!</v>
      </c>
    </row>
    <row r="170" spans="1:37" x14ac:dyDescent="0.3">
      <c r="A170" s="169">
        <v>45058</v>
      </c>
      <c r="B170" s="159">
        <f t="shared" si="436"/>
        <v>2023</v>
      </c>
      <c r="C170" s="159">
        <f t="shared" si="437"/>
        <v>5</v>
      </c>
      <c r="D170" s="190">
        <f>AVERAGEIFS(data!G:G,data!A:A,'weekly-forecast'!B170,data!B:B,'weekly-forecast'!C170)</f>
        <v>330</v>
      </c>
      <c r="E170" s="190">
        <f>AVERAGEIFS(data!F:F,data!A:A,'weekly-forecast'!B170,data!B:B,'weekly-forecast'!C170)</f>
        <v>460</v>
      </c>
      <c r="F170" s="190">
        <v>172.5</v>
      </c>
      <c r="G170" s="190">
        <v>247.5</v>
      </c>
      <c r="H170" s="190">
        <v>302.5</v>
      </c>
      <c r="I170" s="170">
        <v>2.2303999999999999</v>
      </c>
      <c r="J170" s="190">
        <v>75.747391304347829</v>
      </c>
      <c r="K170" s="201"/>
      <c r="L170" s="201"/>
      <c r="M170" s="201"/>
      <c r="N170" s="201"/>
      <c r="O170" s="201"/>
      <c r="P170" s="201"/>
      <c r="Q170" s="171">
        <f t="shared" si="439"/>
        <v>-5.4794520547945202E-2</v>
      </c>
      <c r="R170" s="171">
        <f t="shared" si="440"/>
        <v>0</v>
      </c>
      <c r="S170" s="171">
        <f t="shared" si="441"/>
        <v>0</v>
      </c>
      <c r="T170" s="171">
        <f t="shared" si="442"/>
        <v>1.9378427787934287E-2</v>
      </c>
      <c r="U170" s="171">
        <f t="shared" si="443"/>
        <v>0</v>
      </c>
      <c r="V170" s="171">
        <f t="shared" si="421"/>
        <v>0</v>
      </c>
      <c r="W170" s="171">
        <f t="shared" si="444"/>
        <v>0</v>
      </c>
      <c r="X170" s="172">
        <f t="shared" si="422"/>
        <v>-0.18823529411764706</v>
      </c>
      <c r="Y170" s="172">
        <f t="shared" si="423"/>
        <v>-6.6037735849056603E-2</v>
      </c>
      <c r="Z170" s="172">
        <f t="shared" si="424"/>
        <v>8.0357142857142863E-2</v>
      </c>
      <c r="AA170" s="172">
        <f t="shared" si="425"/>
        <v>5.4861899356791359E-2</v>
      </c>
      <c r="AB170" s="172">
        <f t="shared" si="426"/>
        <v>-9.3236553050806498E-2</v>
      </c>
      <c r="AC170" s="172">
        <f t="shared" si="399"/>
        <v>-0.4</v>
      </c>
      <c r="AD170" s="172">
        <f t="shared" ref="AD170" si="478">(E170-E174)/E174</f>
        <v>0</v>
      </c>
      <c r="AE170" s="172" t="e">
        <f>(F170-#REF!)/#REF!</f>
        <v>#REF!</v>
      </c>
      <c r="AF170" s="172" t="e">
        <f>(G170-#REF!)/#REF!</f>
        <v>#REF!</v>
      </c>
      <c r="AG170" s="172" t="e">
        <f>(H170-#REF!)/#REF!</f>
        <v>#REF!</v>
      </c>
      <c r="AH170" s="172" t="e">
        <f>(I170-#REF!)/#REF!</f>
        <v>#REF!</v>
      </c>
      <c r="AI170" s="172" t="e">
        <f>(J170-#REF!)/#REF!</f>
        <v>#REF!</v>
      </c>
      <c r="AJ170" s="172" t="e">
        <f>(D170-#REF!)/#REF!</f>
        <v>#REF!</v>
      </c>
      <c r="AK170" s="172" t="e">
        <f>(E170-#REF!)/#REF!</f>
        <v>#REF!</v>
      </c>
    </row>
    <row r="171" spans="1:37" x14ac:dyDescent="0.3">
      <c r="A171" s="169">
        <v>45051</v>
      </c>
      <c r="B171" s="159">
        <f t="shared" si="436"/>
        <v>2023</v>
      </c>
      <c r="C171" s="159">
        <f t="shared" si="437"/>
        <v>5</v>
      </c>
      <c r="D171" s="190">
        <f>AVERAGEIFS(data!G:G,data!A:A,'weekly-forecast'!B171,data!B:B,'weekly-forecast'!C171)</f>
        <v>330</v>
      </c>
      <c r="E171" s="190">
        <f>AVERAGEIFS(data!F:F,data!A:A,'weekly-forecast'!B171,data!B:B,'weekly-forecast'!C171)</f>
        <v>460</v>
      </c>
      <c r="F171" s="190">
        <v>182.5</v>
      </c>
      <c r="G171" s="190">
        <v>247.5</v>
      </c>
      <c r="H171" s="190">
        <v>302.5</v>
      </c>
      <c r="I171" s="170">
        <v>2.1879999999999997</v>
      </c>
      <c r="J171" s="190">
        <v>75.747391304347829</v>
      </c>
      <c r="K171" s="202"/>
      <c r="L171" s="202"/>
      <c r="M171" s="202"/>
      <c r="N171" s="202"/>
      <c r="O171" s="202"/>
      <c r="P171" s="202"/>
      <c r="Q171" s="171">
        <f t="shared" si="439"/>
        <v>-5.1948051948051951E-2</v>
      </c>
      <c r="R171" s="171">
        <f t="shared" si="440"/>
        <v>0</v>
      </c>
      <c r="S171" s="171">
        <f t="shared" si="441"/>
        <v>0</v>
      </c>
      <c r="T171" s="171">
        <f t="shared" si="442"/>
        <v>-4.5541790263479348E-2</v>
      </c>
      <c r="U171" s="171">
        <f t="shared" si="443"/>
        <v>-9.3236553050806498E-2</v>
      </c>
      <c r="V171" s="171">
        <f t="shared" si="421"/>
        <v>-0.4</v>
      </c>
      <c r="W171" s="171">
        <f t="shared" si="444"/>
        <v>0</v>
      </c>
      <c r="X171" s="172">
        <f t="shared" si="422"/>
        <v>-0.13711583924349882</v>
      </c>
      <c r="Y171" s="172">
        <f t="shared" si="423"/>
        <v>-0.18852459016393441</v>
      </c>
      <c r="Z171" s="172">
        <f t="shared" si="424"/>
        <v>0.16346153846153846</v>
      </c>
      <c r="AA171" s="172">
        <f t="shared" si="425"/>
        <v>5.3949903660886381E-2</v>
      </c>
      <c r="AB171" s="172">
        <f t="shared" si="426"/>
        <v>-9.3236553050806498E-2</v>
      </c>
      <c r="AC171" s="172">
        <f t="shared" ref="AC171:AC202" si="479">(D171-D175)/D175</f>
        <v>-0.4</v>
      </c>
      <c r="AD171" s="172">
        <f t="shared" ref="AD171" si="480">(E171-E175)/E175</f>
        <v>0</v>
      </c>
      <c r="AE171" s="172" t="e">
        <f>(F171-#REF!)/#REF!</f>
        <v>#REF!</v>
      </c>
      <c r="AF171" s="172" t="e">
        <f>(G171-#REF!)/#REF!</f>
        <v>#REF!</v>
      </c>
      <c r="AG171" s="172" t="e">
        <f>(H171-#REF!)/#REF!</f>
        <v>#REF!</v>
      </c>
      <c r="AH171" s="172" t="e">
        <f>(I171-#REF!)/#REF!</f>
        <v>#REF!</v>
      </c>
      <c r="AI171" s="172" t="e">
        <f>(J171-#REF!)/#REF!</f>
        <v>#REF!</v>
      </c>
      <c r="AJ171" s="172" t="e">
        <f>(D171-#REF!)/#REF!</f>
        <v>#REF!</v>
      </c>
      <c r="AK171" s="172" t="e">
        <f>(E171-#REF!)/#REF!</f>
        <v>#REF!</v>
      </c>
    </row>
    <row r="172" spans="1:37" x14ac:dyDescent="0.3">
      <c r="A172" s="169">
        <v>45044</v>
      </c>
      <c r="B172" s="159">
        <f t="shared" si="436"/>
        <v>2023</v>
      </c>
      <c r="C172" s="159">
        <f t="shared" si="437"/>
        <v>4</v>
      </c>
      <c r="D172" s="190">
        <f>AVERAGEIFS(data!G:G,data!A:A,'weekly-forecast'!B172,data!B:B,'weekly-forecast'!C172)</f>
        <v>550</v>
      </c>
      <c r="E172" s="190">
        <f>AVERAGEIFS(data!F:F,data!A:A,'weekly-forecast'!B172,data!B:B,'weekly-forecast'!C172)</f>
        <v>460</v>
      </c>
      <c r="F172" s="190">
        <v>192.5</v>
      </c>
      <c r="G172" s="190">
        <v>247.5</v>
      </c>
      <c r="H172" s="190">
        <v>302.5</v>
      </c>
      <c r="I172" s="170">
        <v>2.2923999999999998</v>
      </c>
      <c r="J172" s="190">
        <v>83.536000000000001</v>
      </c>
      <c r="K172" s="200">
        <f>AVERAGE(D172:D175)</f>
        <v>550</v>
      </c>
      <c r="L172" s="200">
        <f t="shared" ref="L172:P172" si="481">AVERAGE(E172:E175)</f>
        <v>460</v>
      </c>
      <c r="M172" s="200">
        <f t="shared" si="481"/>
        <v>204.75</v>
      </c>
      <c r="N172" s="200">
        <f t="shared" si="481"/>
        <v>270.625</v>
      </c>
      <c r="O172" s="200">
        <f t="shared" si="481"/>
        <v>286.25</v>
      </c>
      <c r="P172" s="200">
        <f t="shared" si="481"/>
        <v>2.1879499999999998</v>
      </c>
      <c r="Q172" s="171">
        <f t="shared" si="439"/>
        <v>-4.9382716049382713E-2</v>
      </c>
      <c r="R172" s="171">
        <f t="shared" si="440"/>
        <v>-6.6037735849056603E-2</v>
      </c>
      <c r="S172" s="171">
        <f t="shared" si="441"/>
        <v>0</v>
      </c>
      <c r="T172" s="171">
        <f t="shared" si="442"/>
        <v>1.0312913177611125E-2</v>
      </c>
      <c r="U172" s="171">
        <f t="shared" si="443"/>
        <v>0</v>
      </c>
      <c r="V172" s="171">
        <f t="shared" si="421"/>
        <v>0</v>
      </c>
      <c r="W172" s="171">
        <f t="shared" si="444"/>
        <v>0</v>
      </c>
      <c r="X172" s="172">
        <f t="shared" si="422"/>
        <v>-0.17558886509635974</v>
      </c>
      <c r="Y172" s="172">
        <f t="shared" si="423"/>
        <v>-0.34</v>
      </c>
      <c r="Z172" s="172">
        <f t="shared" si="424"/>
        <v>0.12037037037037036</v>
      </c>
      <c r="AA172" s="172">
        <f t="shared" si="425"/>
        <v>9.9050723942851623E-2</v>
      </c>
      <c r="AB172" s="172">
        <f t="shared" si="426"/>
        <v>5.3995282242580524E-2</v>
      </c>
      <c r="AC172" s="172">
        <f t="shared" si="479"/>
        <v>0</v>
      </c>
      <c r="AD172" s="172">
        <f t="shared" ref="AD172" si="482">(E172-E176)/E176</f>
        <v>0</v>
      </c>
      <c r="AE172" s="172" t="e">
        <f>(F172-#REF!)/#REF!</f>
        <v>#REF!</v>
      </c>
      <c r="AF172" s="172" t="e">
        <f>(G172-#REF!)/#REF!</f>
        <v>#REF!</v>
      </c>
      <c r="AG172" s="172" t="e">
        <f>(H172-#REF!)/#REF!</f>
        <v>#REF!</v>
      </c>
      <c r="AH172" s="172" t="e">
        <f>(I172-#REF!)/#REF!</f>
        <v>#REF!</v>
      </c>
      <c r="AI172" s="172" t="e">
        <f>(J172-#REF!)/#REF!</f>
        <v>#REF!</v>
      </c>
      <c r="AJ172" s="172" t="e">
        <f>(D172-#REF!)/#REF!</f>
        <v>#REF!</v>
      </c>
      <c r="AK172" s="172" t="e">
        <f>(E172-#REF!)/#REF!</f>
        <v>#REF!</v>
      </c>
    </row>
    <row r="173" spans="1:37" x14ac:dyDescent="0.3">
      <c r="A173" s="169">
        <v>45037</v>
      </c>
      <c r="B173" s="159">
        <f t="shared" si="436"/>
        <v>2023</v>
      </c>
      <c r="C173" s="159">
        <f t="shared" si="437"/>
        <v>4</v>
      </c>
      <c r="D173" s="190">
        <f>AVERAGEIFS(data!G:G,data!A:A,'weekly-forecast'!B173,data!B:B,'weekly-forecast'!C173)</f>
        <v>550</v>
      </c>
      <c r="E173" s="190">
        <f>AVERAGEIFS(data!F:F,data!A:A,'weekly-forecast'!B173,data!B:B,'weekly-forecast'!C173)</f>
        <v>460</v>
      </c>
      <c r="F173" s="190">
        <v>202.5</v>
      </c>
      <c r="G173" s="190">
        <v>265</v>
      </c>
      <c r="H173" s="190">
        <v>302.5</v>
      </c>
      <c r="I173" s="170">
        <v>2.2690000000000001</v>
      </c>
      <c r="J173" s="190">
        <v>83.536000000000001</v>
      </c>
      <c r="K173" s="201"/>
      <c r="L173" s="201"/>
      <c r="M173" s="201"/>
      <c r="N173" s="201"/>
      <c r="O173" s="201"/>
      <c r="P173" s="201"/>
      <c r="Q173" s="171">
        <f t="shared" si="439"/>
        <v>-4.7058823529411764E-2</v>
      </c>
      <c r="R173" s="171">
        <f t="shared" si="440"/>
        <v>0</v>
      </c>
      <c r="S173" s="171">
        <f t="shared" si="441"/>
        <v>8.0357142857142863E-2</v>
      </c>
      <c r="T173" s="171">
        <f t="shared" si="442"/>
        <v>7.3117669315172065E-2</v>
      </c>
      <c r="U173" s="171">
        <f t="shared" si="443"/>
        <v>0</v>
      </c>
      <c r="V173" s="171">
        <f t="shared" si="421"/>
        <v>0</v>
      </c>
      <c r="W173" s="171">
        <f t="shared" si="444"/>
        <v>0</v>
      </c>
      <c r="X173" s="172">
        <f t="shared" si="422"/>
        <v>-0.2767857142857143</v>
      </c>
      <c r="Y173" s="172">
        <f t="shared" si="423"/>
        <v>-0.29333333333333333</v>
      </c>
      <c r="Z173" s="172">
        <f t="shared" si="424"/>
        <v>0.13084112149532709</v>
      </c>
      <c r="AA173" s="172">
        <f t="shared" si="425"/>
        <v>2.0968322534197559E-2</v>
      </c>
      <c r="AB173" s="172">
        <f t="shared" si="426"/>
        <v>5.3995282242580524E-2</v>
      </c>
      <c r="AC173" s="172">
        <f t="shared" si="479"/>
        <v>0</v>
      </c>
      <c r="AD173" s="172">
        <f t="shared" ref="AD173" si="483">(E173-E177)/E177</f>
        <v>0</v>
      </c>
      <c r="AE173" s="172" t="e">
        <f>(F173-#REF!)/#REF!</f>
        <v>#REF!</v>
      </c>
      <c r="AF173" s="172" t="e">
        <f>(G173-#REF!)/#REF!</f>
        <v>#REF!</v>
      </c>
      <c r="AG173" s="172" t="e">
        <f>(H173-#REF!)/#REF!</f>
        <v>#REF!</v>
      </c>
      <c r="AH173" s="172" t="e">
        <f>(I173-#REF!)/#REF!</f>
        <v>#REF!</v>
      </c>
      <c r="AI173" s="172" t="e">
        <f>(J173-#REF!)/#REF!</f>
        <v>#REF!</v>
      </c>
      <c r="AJ173" s="172" t="e">
        <f>(D173-#REF!)/#REF!</f>
        <v>#REF!</v>
      </c>
      <c r="AK173" s="172" t="e">
        <f>(E173-#REF!)/#REF!</f>
        <v>#REF!</v>
      </c>
    </row>
    <row r="174" spans="1:37" x14ac:dyDescent="0.3">
      <c r="A174" s="169">
        <v>45030</v>
      </c>
      <c r="B174" s="159">
        <f t="shared" si="436"/>
        <v>2023</v>
      </c>
      <c r="C174" s="159">
        <f t="shared" si="437"/>
        <v>4</v>
      </c>
      <c r="D174" s="190">
        <f>AVERAGEIFS(data!G:G,data!A:A,'weekly-forecast'!B174,data!B:B,'weekly-forecast'!C174)</f>
        <v>550</v>
      </c>
      <c r="E174" s="190">
        <f>AVERAGEIFS(data!F:F,data!A:A,'weekly-forecast'!B174,data!B:B,'weekly-forecast'!C174)</f>
        <v>460</v>
      </c>
      <c r="F174" s="190">
        <v>212.5</v>
      </c>
      <c r="G174" s="190">
        <v>265</v>
      </c>
      <c r="H174" s="190">
        <v>280</v>
      </c>
      <c r="I174" s="170">
        <v>2.1144000000000003</v>
      </c>
      <c r="J174" s="190">
        <v>83.536000000000001</v>
      </c>
      <c r="K174" s="201"/>
      <c r="L174" s="201"/>
      <c r="M174" s="201"/>
      <c r="N174" s="201"/>
      <c r="O174" s="201"/>
      <c r="P174" s="201"/>
      <c r="Q174" s="171">
        <f t="shared" si="439"/>
        <v>4.7281323877068557E-3</v>
      </c>
      <c r="R174" s="171">
        <f t="shared" si="440"/>
        <v>-0.13114754098360656</v>
      </c>
      <c r="S174" s="171">
        <f t="shared" si="441"/>
        <v>7.6923076923076927E-2</v>
      </c>
      <c r="T174" s="171">
        <f t="shared" si="442"/>
        <v>1.8497109826589916E-2</v>
      </c>
      <c r="U174" s="171">
        <f t="shared" si="443"/>
        <v>0</v>
      </c>
      <c r="V174" s="171">
        <f t="shared" si="421"/>
        <v>0</v>
      </c>
      <c r="W174" s="171">
        <f t="shared" si="444"/>
        <v>0</v>
      </c>
      <c r="X174" s="172">
        <f t="shared" si="422"/>
        <v>-0.19811320754716982</v>
      </c>
      <c r="Y174" s="172">
        <f t="shared" si="423"/>
        <v>-0.29333333333333333</v>
      </c>
      <c r="Z174" s="172">
        <f t="shared" si="424"/>
        <v>-0.1111111111111111</v>
      </c>
      <c r="AA174" s="172">
        <f t="shared" si="425"/>
        <v>-0.15220529270248592</v>
      </c>
      <c r="AB174" s="172">
        <f t="shared" si="426"/>
        <v>5.3995282242580524E-2</v>
      </c>
      <c r="AC174" s="172">
        <f t="shared" si="479"/>
        <v>0</v>
      </c>
      <c r="AD174" s="172">
        <f t="shared" ref="AD174" si="484">(E174-E178)/E178</f>
        <v>0</v>
      </c>
      <c r="AE174" s="172" t="e">
        <f>(F174-#REF!)/#REF!</f>
        <v>#REF!</v>
      </c>
      <c r="AF174" s="172" t="e">
        <f>(G174-#REF!)/#REF!</f>
        <v>#REF!</v>
      </c>
      <c r="AG174" s="172" t="e">
        <f>(H174-#REF!)/#REF!</f>
        <v>#REF!</v>
      </c>
      <c r="AH174" s="172" t="e">
        <f>(I174-#REF!)/#REF!</f>
        <v>#REF!</v>
      </c>
      <c r="AI174" s="172" t="e">
        <f>(J174-#REF!)/#REF!</f>
        <v>#REF!</v>
      </c>
      <c r="AJ174" s="172" t="e">
        <f>(D174-#REF!)/#REF!</f>
        <v>#REF!</v>
      </c>
      <c r="AK174" s="172" t="e">
        <f>(E174-#REF!)/#REF!</f>
        <v>#REF!</v>
      </c>
    </row>
    <row r="175" spans="1:37" x14ac:dyDescent="0.3">
      <c r="A175" s="169">
        <v>45023</v>
      </c>
      <c r="B175" s="159">
        <f t="shared" si="436"/>
        <v>2023</v>
      </c>
      <c r="C175" s="159">
        <f t="shared" si="437"/>
        <v>4</v>
      </c>
      <c r="D175" s="190">
        <f>AVERAGEIFS(data!G:G,data!A:A,'weekly-forecast'!B175,data!B:B,'weekly-forecast'!C175)</f>
        <v>550</v>
      </c>
      <c r="E175" s="190">
        <f>AVERAGEIFS(data!F:F,data!A:A,'weekly-forecast'!B175,data!B:B,'weekly-forecast'!C175)</f>
        <v>460</v>
      </c>
      <c r="F175" s="190">
        <v>211.5</v>
      </c>
      <c r="G175" s="190">
        <v>305</v>
      </c>
      <c r="H175" s="190">
        <v>260</v>
      </c>
      <c r="I175" s="170">
        <v>2.0759999999999996</v>
      </c>
      <c r="J175" s="190">
        <v>83.536000000000001</v>
      </c>
      <c r="K175" s="202"/>
      <c r="L175" s="202"/>
      <c r="M175" s="202"/>
      <c r="N175" s="202"/>
      <c r="O175" s="202"/>
      <c r="P175" s="202"/>
      <c r="Q175" s="171">
        <f t="shared" si="439"/>
        <v>-9.421841541755889E-2</v>
      </c>
      <c r="R175" s="171">
        <f t="shared" si="440"/>
        <v>-0.18666666666666668</v>
      </c>
      <c r="S175" s="171">
        <f t="shared" si="441"/>
        <v>-3.7037037037037035E-2</v>
      </c>
      <c r="T175" s="171">
        <f t="shared" si="442"/>
        <v>-4.6984370505322916E-3</v>
      </c>
      <c r="U175" s="171">
        <f t="shared" si="443"/>
        <v>5.3995282242580524E-2</v>
      </c>
      <c r="V175" s="171">
        <f t="shared" si="421"/>
        <v>0</v>
      </c>
      <c r="W175" s="171">
        <f t="shared" si="444"/>
        <v>0</v>
      </c>
      <c r="X175" s="172">
        <f t="shared" si="422"/>
        <v>-0.2018867924528302</v>
      </c>
      <c r="Y175" s="172">
        <f t="shared" si="423"/>
        <v>-0.27810650887573962</v>
      </c>
      <c r="Z175" s="172">
        <f t="shared" si="424"/>
        <v>-0.17460317460317459</v>
      </c>
      <c r="AA175" s="172">
        <f t="shared" si="425"/>
        <v>-0.1879840413048583</v>
      </c>
      <c r="AB175" s="172">
        <f t="shared" si="426"/>
        <v>5.3995282242580524E-2</v>
      </c>
      <c r="AC175" s="172">
        <f t="shared" si="479"/>
        <v>0</v>
      </c>
      <c r="AD175" s="172">
        <f t="shared" ref="AD175" si="485">(E175-E179)/E179</f>
        <v>0</v>
      </c>
      <c r="AE175" s="172" t="e">
        <f>(F175-#REF!)/#REF!</f>
        <v>#REF!</v>
      </c>
      <c r="AF175" s="172" t="e">
        <f>(G175-#REF!)/#REF!</f>
        <v>#REF!</v>
      </c>
      <c r="AG175" s="172" t="e">
        <f>(H175-#REF!)/#REF!</f>
        <v>#REF!</v>
      </c>
      <c r="AH175" s="172" t="e">
        <f>(I175-#REF!)/#REF!</f>
        <v>#REF!</v>
      </c>
      <c r="AI175" s="172" t="e">
        <f>(J175-#REF!)/#REF!</f>
        <v>#REF!</v>
      </c>
      <c r="AJ175" s="172" t="e">
        <f>(D175-#REF!)/#REF!</f>
        <v>#REF!</v>
      </c>
      <c r="AK175" s="172" t="e">
        <f>(E175-#REF!)/#REF!</f>
        <v>#REF!</v>
      </c>
    </row>
    <row r="176" spans="1:37" x14ac:dyDescent="0.3">
      <c r="A176" s="169">
        <v>45016</v>
      </c>
      <c r="B176" s="159">
        <f t="shared" si="436"/>
        <v>2023</v>
      </c>
      <c r="C176" s="159">
        <f t="shared" si="437"/>
        <v>3</v>
      </c>
      <c r="D176" s="190">
        <f>AVERAGEIFS(data!G:G,data!A:A,'weekly-forecast'!B176,data!B:B,'weekly-forecast'!C176)</f>
        <v>550</v>
      </c>
      <c r="E176" s="190">
        <f>AVERAGEIFS(data!F:F,data!A:A,'weekly-forecast'!B176,data!B:B,'weekly-forecast'!C176)</f>
        <v>460</v>
      </c>
      <c r="F176" s="190">
        <v>233.5</v>
      </c>
      <c r="G176" s="190">
        <v>375</v>
      </c>
      <c r="H176" s="190">
        <v>270</v>
      </c>
      <c r="I176" s="170">
        <v>2.0857999999999999</v>
      </c>
      <c r="J176" s="190">
        <v>79.256521739130434</v>
      </c>
      <c r="K176" s="200">
        <f>AVERAGE(D176:D180)</f>
        <v>550</v>
      </c>
      <c r="L176" s="200">
        <f t="shared" ref="L176:P176" si="486">AVERAGE(E176:E180)</f>
        <v>460</v>
      </c>
      <c r="M176" s="200">
        <f t="shared" si="486"/>
        <v>262.7</v>
      </c>
      <c r="N176" s="200">
        <f t="shared" si="486"/>
        <v>428.5</v>
      </c>
      <c r="O176" s="200">
        <f t="shared" si="486"/>
        <v>295</v>
      </c>
      <c r="P176" s="200">
        <f t="shared" si="486"/>
        <v>2.4342799999999998</v>
      </c>
      <c r="Q176" s="171">
        <f t="shared" si="439"/>
        <v>-0.16607142857142856</v>
      </c>
      <c r="R176" s="171">
        <f t="shared" si="440"/>
        <v>0</v>
      </c>
      <c r="S176" s="171">
        <f t="shared" si="441"/>
        <v>9.3457943925233638E-3</v>
      </c>
      <c r="T176" s="171">
        <f t="shared" si="442"/>
        <v>-6.1465082793376369E-2</v>
      </c>
      <c r="U176" s="171">
        <f t="shared" si="443"/>
        <v>0</v>
      </c>
      <c r="V176" s="171">
        <f t="shared" si="421"/>
        <v>0</v>
      </c>
      <c r="W176" s="171">
        <f t="shared" si="444"/>
        <v>0</v>
      </c>
      <c r="X176" s="172">
        <f t="shared" si="422"/>
        <v>-0.13518518518518519</v>
      </c>
      <c r="Y176" s="172">
        <f t="shared" si="423"/>
        <v>-0.36974789915966388</v>
      </c>
      <c r="Z176" s="172">
        <f t="shared" si="424"/>
        <v>-0.12195121951219512</v>
      </c>
      <c r="AA176" s="172">
        <f t="shared" si="425"/>
        <v>-0.25840858991680304</v>
      </c>
      <c r="AB176" s="172">
        <f t="shared" si="426"/>
        <v>0</v>
      </c>
      <c r="AC176" s="172">
        <f t="shared" si="479"/>
        <v>0</v>
      </c>
      <c r="AD176" s="172">
        <f t="shared" ref="AD176" si="487">(E176-E180)/E180</f>
        <v>0</v>
      </c>
      <c r="AE176" s="172" t="e">
        <f>(F176-#REF!)/#REF!</f>
        <v>#REF!</v>
      </c>
      <c r="AF176" s="172" t="e">
        <f>(G176-#REF!)/#REF!</f>
        <v>#REF!</v>
      </c>
      <c r="AG176" s="172" t="e">
        <f>(H176-#REF!)/#REF!</f>
        <v>#REF!</v>
      </c>
      <c r="AH176" s="172" t="e">
        <f>(I176-#REF!)/#REF!</f>
        <v>#REF!</v>
      </c>
      <c r="AI176" s="172" t="e">
        <f>(J176-#REF!)/#REF!</f>
        <v>#REF!</v>
      </c>
      <c r="AJ176" s="172" t="e">
        <f>(D176-#REF!)/#REF!</f>
        <v>#REF!</v>
      </c>
      <c r="AK176" s="172" t="e">
        <f>(E176-#REF!)/#REF!</f>
        <v>#REF!</v>
      </c>
    </row>
    <row r="177" spans="1:37" x14ac:dyDescent="0.3">
      <c r="A177" s="169">
        <v>45009</v>
      </c>
      <c r="B177" s="159">
        <f t="shared" si="436"/>
        <v>2023</v>
      </c>
      <c r="C177" s="159">
        <f t="shared" si="437"/>
        <v>3</v>
      </c>
      <c r="D177" s="190">
        <f>AVERAGEIFS(data!G:G,data!A:A,'weekly-forecast'!B177,data!B:B,'weekly-forecast'!C177)</f>
        <v>550</v>
      </c>
      <c r="E177" s="190">
        <f>AVERAGEIFS(data!F:F,data!A:A,'weekly-forecast'!B177,data!B:B,'weekly-forecast'!C177)</f>
        <v>460</v>
      </c>
      <c r="F177" s="190">
        <v>280</v>
      </c>
      <c r="G177" s="190">
        <v>375</v>
      </c>
      <c r="H177" s="190">
        <v>267.5</v>
      </c>
      <c r="I177" s="170">
        <v>2.2223999999999995</v>
      </c>
      <c r="J177" s="190">
        <v>79.256521739130434</v>
      </c>
      <c r="K177" s="201"/>
      <c r="L177" s="201"/>
      <c r="M177" s="201"/>
      <c r="N177" s="201"/>
      <c r="O177" s="201"/>
      <c r="P177" s="201"/>
      <c r="Q177" s="171">
        <f t="shared" si="439"/>
        <v>5.6603773584905662E-2</v>
      </c>
      <c r="R177" s="171">
        <f t="shared" si="440"/>
        <v>0</v>
      </c>
      <c r="S177" s="171">
        <f t="shared" si="441"/>
        <v>-0.15079365079365079</v>
      </c>
      <c r="T177" s="171">
        <f t="shared" si="442"/>
        <v>-0.10890136327185274</v>
      </c>
      <c r="U177" s="171">
        <f t="shared" si="443"/>
        <v>0</v>
      </c>
      <c r="V177" s="171">
        <f t="shared" si="421"/>
        <v>0</v>
      </c>
      <c r="W177" s="171">
        <f t="shared" si="444"/>
        <v>0</v>
      </c>
      <c r="X177" s="172">
        <f t="shared" si="422"/>
        <v>3.7037037037037035E-2</v>
      </c>
      <c r="Y177" s="172">
        <f t="shared" si="423"/>
        <v>-0.3902439024390244</v>
      </c>
      <c r="Z177" s="172">
        <f t="shared" si="424"/>
        <v>-7.7586206896551727E-2</v>
      </c>
      <c r="AA177" s="172">
        <f t="shared" si="425"/>
        <v>-1.358189081225061E-2</v>
      </c>
      <c r="AB177" s="172">
        <f t="shared" si="426"/>
        <v>-5.2323896342564902E-2</v>
      </c>
      <c r="AC177" s="172">
        <f t="shared" si="479"/>
        <v>1.8518518518518517E-2</v>
      </c>
      <c r="AD177" s="172">
        <f t="shared" ref="AD177" si="488">(E177-E181)/E181</f>
        <v>-0.08</v>
      </c>
      <c r="AE177" s="172" t="e">
        <f>(F177-#REF!)/#REF!</f>
        <v>#REF!</v>
      </c>
      <c r="AF177" s="172" t="e">
        <f>(G177-#REF!)/#REF!</f>
        <v>#REF!</v>
      </c>
      <c r="AG177" s="172" t="e">
        <f>(H177-#REF!)/#REF!</f>
        <v>#REF!</v>
      </c>
      <c r="AH177" s="172" t="e">
        <f>(I177-#REF!)/#REF!</f>
        <v>#REF!</v>
      </c>
      <c r="AI177" s="172" t="e">
        <f>(J177-#REF!)/#REF!</f>
        <v>#REF!</v>
      </c>
      <c r="AJ177" s="172" t="e">
        <f>(D177-#REF!)/#REF!</f>
        <v>#REF!</v>
      </c>
      <c r="AK177" s="172" t="e">
        <f>(E177-#REF!)/#REF!</f>
        <v>#REF!</v>
      </c>
    </row>
    <row r="178" spans="1:37" x14ac:dyDescent="0.3">
      <c r="A178" s="169">
        <v>45002</v>
      </c>
      <c r="B178" s="159">
        <f t="shared" si="436"/>
        <v>2023</v>
      </c>
      <c r="C178" s="159">
        <f t="shared" si="437"/>
        <v>3</v>
      </c>
      <c r="D178" s="190">
        <f>AVERAGEIFS(data!G:G,data!A:A,'weekly-forecast'!B178,data!B:B,'weekly-forecast'!C178)</f>
        <v>550</v>
      </c>
      <c r="E178" s="190">
        <f>AVERAGEIFS(data!F:F,data!A:A,'weekly-forecast'!B178,data!B:B,'weekly-forecast'!C178)</f>
        <v>460</v>
      </c>
      <c r="F178" s="190">
        <v>265</v>
      </c>
      <c r="G178" s="190">
        <v>375</v>
      </c>
      <c r="H178" s="190">
        <v>315</v>
      </c>
      <c r="I178" s="170">
        <v>2.4940000000000002</v>
      </c>
      <c r="J178" s="190">
        <v>79.256521739130434</v>
      </c>
      <c r="K178" s="201"/>
      <c r="L178" s="201"/>
      <c r="M178" s="201"/>
      <c r="N178" s="201"/>
      <c r="O178" s="201"/>
      <c r="P178" s="201"/>
      <c r="Q178" s="171">
        <f t="shared" si="439"/>
        <v>0</v>
      </c>
      <c r="R178" s="171">
        <f t="shared" si="440"/>
        <v>-0.11242603550295859</v>
      </c>
      <c r="S178" s="171">
        <f t="shared" si="441"/>
        <v>0</v>
      </c>
      <c r="T178" s="171">
        <f t="shared" si="442"/>
        <v>-2.4485644997262065E-2</v>
      </c>
      <c r="U178" s="171">
        <f t="shared" si="443"/>
        <v>0</v>
      </c>
      <c r="V178" s="171">
        <f t="shared" si="421"/>
        <v>0</v>
      </c>
      <c r="W178" s="171">
        <f t="shared" si="444"/>
        <v>0</v>
      </c>
      <c r="X178" s="172">
        <f t="shared" si="422"/>
        <v>0.15720524017467249</v>
      </c>
      <c r="Y178" s="172">
        <f t="shared" si="423"/>
        <v>-0.45255474452554745</v>
      </c>
      <c r="Z178" s="172">
        <f t="shared" si="424"/>
        <v>-1.5625E-2</v>
      </c>
      <c r="AA178" s="172">
        <f t="shared" si="425"/>
        <v>2.9982654662592076E-2</v>
      </c>
      <c r="AB178" s="172">
        <f t="shared" si="426"/>
        <v>-5.2323896342564902E-2</v>
      </c>
      <c r="AC178" s="172">
        <f t="shared" si="479"/>
        <v>1.8518518518518517E-2</v>
      </c>
      <c r="AD178" s="172">
        <f t="shared" ref="AD178" si="489">(E178-E182)/E182</f>
        <v>-0.08</v>
      </c>
      <c r="AE178" s="172" t="e">
        <f>(F178-#REF!)/#REF!</f>
        <v>#REF!</v>
      </c>
      <c r="AF178" s="172" t="e">
        <f>(G178-#REF!)/#REF!</f>
        <v>#REF!</v>
      </c>
      <c r="AG178" s="172" t="e">
        <f>(H178-#REF!)/#REF!</f>
        <v>#REF!</v>
      </c>
      <c r="AH178" s="172" t="e">
        <f>(I178-#REF!)/#REF!</f>
        <v>#REF!</v>
      </c>
      <c r="AI178" s="172" t="e">
        <f>(J178-#REF!)/#REF!</f>
        <v>#REF!</v>
      </c>
      <c r="AJ178" s="172" t="e">
        <f>(D178-#REF!)/#REF!</f>
        <v>#REF!</v>
      </c>
      <c r="AK178" s="172" t="e">
        <f>(E178-#REF!)/#REF!</f>
        <v>#REF!</v>
      </c>
    </row>
    <row r="179" spans="1:37" x14ac:dyDescent="0.3">
      <c r="A179" s="169">
        <v>44995</v>
      </c>
      <c r="B179" s="159">
        <f t="shared" si="436"/>
        <v>2023</v>
      </c>
      <c r="C179" s="159">
        <f t="shared" si="437"/>
        <v>3</v>
      </c>
      <c r="D179" s="190">
        <f>AVERAGEIFS(data!G:G,data!A:A,'weekly-forecast'!B179,data!B:B,'weekly-forecast'!C179)</f>
        <v>550</v>
      </c>
      <c r="E179" s="190">
        <f>AVERAGEIFS(data!F:F,data!A:A,'weekly-forecast'!B179,data!B:B,'weekly-forecast'!C179)</f>
        <v>460</v>
      </c>
      <c r="F179" s="190">
        <v>265</v>
      </c>
      <c r="G179" s="190">
        <v>422.5</v>
      </c>
      <c r="H179" s="190">
        <v>315</v>
      </c>
      <c r="I179" s="170">
        <v>2.5566000000000004</v>
      </c>
      <c r="J179" s="190">
        <v>79.256521739130434</v>
      </c>
      <c r="K179" s="201"/>
      <c r="L179" s="201"/>
      <c r="M179" s="201"/>
      <c r="N179" s="201"/>
      <c r="O179" s="201"/>
      <c r="P179" s="201"/>
      <c r="Q179" s="171">
        <f t="shared" si="439"/>
        <v>-1.8518518518518517E-2</v>
      </c>
      <c r="R179" s="171">
        <f t="shared" si="440"/>
        <v>-0.28991596638655465</v>
      </c>
      <c r="S179" s="171">
        <f t="shared" si="441"/>
        <v>2.4390243902439025E-2</v>
      </c>
      <c r="T179" s="171">
        <f t="shared" si="442"/>
        <v>-9.1018985991609097E-2</v>
      </c>
      <c r="U179" s="171">
        <f t="shared" si="443"/>
        <v>0</v>
      </c>
      <c r="V179" s="171">
        <f t="shared" si="421"/>
        <v>0</v>
      </c>
      <c r="W179" s="171">
        <f t="shared" si="444"/>
        <v>0</v>
      </c>
      <c r="X179" s="172">
        <f t="shared" si="422"/>
        <v>-8.6206896551724144E-2</v>
      </c>
      <c r="Y179" s="172">
        <f t="shared" si="423"/>
        <v>-0.38321167883211676</v>
      </c>
      <c r="Z179" s="172">
        <f t="shared" si="424"/>
        <v>-8.0291970802919707E-2</v>
      </c>
      <c r="AA179" s="172">
        <f t="shared" si="425"/>
        <v>3.2469105888054468E-2</v>
      </c>
      <c r="AB179" s="172">
        <f t="shared" si="426"/>
        <v>-5.2323896342564902E-2</v>
      </c>
      <c r="AC179" s="172">
        <f t="shared" si="479"/>
        <v>1.8518518518518517E-2</v>
      </c>
      <c r="AD179" s="172">
        <f t="shared" ref="AD179" si="490">(E179-E183)/E183</f>
        <v>-0.08</v>
      </c>
      <c r="AE179" s="172" t="e">
        <f>(F179-#REF!)/#REF!</f>
        <v>#REF!</v>
      </c>
      <c r="AF179" s="172" t="e">
        <f>(G179-#REF!)/#REF!</f>
        <v>#REF!</v>
      </c>
      <c r="AG179" s="172" t="e">
        <f>(H179-#REF!)/#REF!</f>
        <v>#REF!</v>
      </c>
      <c r="AH179" s="172" t="e">
        <f>(I179-#REF!)/#REF!</f>
        <v>#REF!</v>
      </c>
      <c r="AI179" s="172" t="e">
        <f>(J179-#REF!)/#REF!</f>
        <v>#REF!</v>
      </c>
      <c r="AJ179" s="172" t="e">
        <f>(D179-#REF!)/#REF!</f>
        <v>#REF!</v>
      </c>
      <c r="AK179" s="172" t="e">
        <f>(E179-#REF!)/#REF!</f>
        <v>#REF!</v>
      </c>
    </row>
    <row r="180" spans="1:37" x14ac:dyDescent="0.3">
      <c r="A180" s="169">
        <v>44988</v>
      </c>
      <c r="B180" s="159">
        <f t="shared" si="436"/>
        <v>2023</v>
      </c>
      <c r="C180" s="159">
        <f t="shared" si="437"/>
        <v>3</v>
      </c>
      <c r="D180" s="190">
        <f>AVERAGEIFS(data!G:G,data!A:A,'weekly-forecast'!B180,data!B:B,'weekly-forecast'!C180)</f>
        <v>550</v>
      </c>
      <c r="E180" s="190">
        <f>AVERAGEIFS(data!F:F,data!A:A,'weekly-forecast'!B180,data!B:B,'weekly-forecast'!C180)</f>
        <v>460</v>
      </c>
      <c r="F180" s="190">
        <v>270</v>
      </c>
      <c r="G180" s="190">
        <v>595</v>
      </c>
      <c r="H180" s="190">
        <v>307.5</v>
      </c>
      <c r="I180" s="170">
        <v>2.8126000000000002</v>
      </c>
      <c r="J180" s="190">
        <v>79.256521739130434</v>
      </c>
      <c r="K180" s="202"/>
      <c r="L180" s="202"/>
      <c r="M180" s="202"/>
      <c r="N180" s="202"/>
      <c r="O180" s="202"/>
      <c r="P180" s="202"/>
      <c r="Q180" s="171">
        <f t="shared" si="439"/>
        <v>0</v>
      </c>
      <c r="R180" s="171">
        <f t="shared" si="440"/>
        <v>-3.2520325203252036E-2</v>
      </c>
      <c r="S180" s="171">
        <f t="shared" si="441"/>
        <v>6.0344827586206899E-2</v>
      </c>
      <c r="T180" s="171">
        <f t="shared" si="442"/>
        <v>0.24837993786063031</v>
      </c>
      <c r="U180" s="171">
        <f t="shared" si="443"/>
        <v>-5.2323896342564902E-2</v>
      </c>
      <c r="V180" s="171">
        <f t="shared" ref="V180:V209" si="491">(D180-D181)/D181</f>
        <v>1.8518518518518517E-2</v>
      </c>
      <c r="W180" s="171">
        <f t="shared" si="444"/>
        <v>-0.08</v>
      </c>
      <c r="X180" s="172">
        <f t="shared" si="422"/>
        <v>-6.8965517241379309E-2</v>
      </c>
      <c r="Y180" s="172">
        <f t="shared" si="423"/>
        <v>-0.13768115942028986</v>
      </c>
      <c r="Z180" s="172">
        <f t="shared" si="424"/>
        <v>-0.11510791366906475</v>
      </c>
      <c r="AA180" s="172">
        <f t="shared" si="425"/>
        <v>0.10775896022055929</v>
      </c>
      <c r="AB180" s="172">
        <f t="shared" si="426"/>
        <v>-5.2323896342564902E-2</v>
      </c>
      <c r="AC180" s="172">
        <f t="shared" si="479"/>
        <v>1.8518518518518517E-2</v>
      </c>
      <c r="AD180" s="172">
        <f t="shared" ref="AD180" si="492">(E180-E184)/E184</f>
        <v>-0.08</v>
      </c>
      <c r="AE180" s="172" t="e">
        <f>(F180-#REF!)/#REF!</f>
        <v>#REF!</v>
      </c>
      <c r="AF180" s="172" t="e">
        <f>(G180-#REF!)/#REF!</f>
        <v>#REF!</v>
      </c>
      <c r="AG180" s="172" t="e">
        <f>(H180-#REF!)/#REF!</f>
        <v>#REF!</v>
      </c>
      <c r="AH180" s="172" t="e">
        <f>(I180-#REF!)/#REF!</f>
        <v>#REF!</v>
      </c>
      <c r="AI180" s="172" t="e">
        <f>(J180-#REF!)/#REF!</f>
        <v>#REF!</v>
      </c>
      <c r="AJ180" s="172" t="e">
        <f>(D180-#REF!)/#REF!</f>
        <v>#REF!</v>
      </c>
      <c r="AK180" s="172" t="e">
        <f>(E180-#REF!)/#REF!</f>
        <v>#REF!</v>
      </c>
    </row>
    <row r="181" spans="1:37" x14ac:dyDescent="0.3">
      <c r="A181" s="169">
        <v>44981</v>
      </c>
      <c r="B181" s="159">
        <f t="shared" si="436"/>
        <v>2023</v>
      </c>
      <c r="C181" s="159">
        <f t="shared" si="437"/>
        <v>2</v>
      </c>
      <c r="D181" s="190">
        <f>AVERAGEIFS(data!G:G,data!A:A,'weekly-forecast'!B181,data!B:B,'weekly-forecast'!C181)</f>
        <v>540</v>
      </c>
      <c r="E181" s="190">
        <f>AVERAGEIFS(data!F:F,data!A:A,'weekly-forecast'!B181,data!B:B,'weekly-forecast'!C181)</f>
        <v>500</v>
      </c>
      <c r="F181" s="190">
        <v>270</v>
      </c>
      <c r="G181" s="190">
        <v>615</v>
      </c>
      <c r="H181" s="190">
        <v>290</v>
      </c>
      <c r="I181" s="170">
        <v>2.2530000000000001</v>
      </c>
      <c r="J181" s="190">
        <v>83.632499999999993</v>
      </c>
      <c r="K181" s="200">
        <f>AVERAGE(D181:D184)</f>
        <v>540</v>
      </c>
      <c r="L181" s="200">
        <f t="shared" ref="L181:P181" si="493">AVERAGE(E181:E184)</f>
        <v>500</v>
      </c>
      <c r="M181" s="200">
        <f t="shared" si="493"/>
        <v>269.75</v>
      </c>
      <c r="N181" s="200">
        <f t="shared" si="493"/>
        <v>668.75</v>
      </c>
      <c r="O181" s="200">
        <f t="shared" si="493"/>
        <v>325</v>
      </c>
      <c r="P181" s="200">
        <f t="shared" si="493"/>
        <v>2.4224000000000001</v>
      </c>
      <c r="Q181" s="171">
        <f t="shared" si="439"/>
        <v>0.17903930131004367</v>
      </c>
      <c r="R181" s="171">
        <f t="shared" si="440"/>
        <v>-0.10218978102189781</v>
      </c>
      <c r="S181" s="171">
        <f t="shared" si="441"/>
        <v>-9.375E-2</v>
      </c>
      <c r="T181" s="171">
        <f t="shared" si="442"/>
        <v>-6.9546543322044962E-2</v>
      </c>
      <c r="U181" s="171">
        <f t="shared" si="443"/>
        <v>0</v>
      </c>
      <c r="V181" s="171">
        <f t="shared" si="491"/>
        <v>0</v>
      </c>
      <c r="W181" s="171">
        <f t="shared" si="444"/>
        <v>0</v>
      </c>
      <c r="X181" s="172">
        <f t="shared" si="422"/>
        <v>-6.8965517241379309E-2</v>
      </c>
      <c r="Y181" s="172">
        <f t="shared" si="423"/>
        <v>-0.12142857142857143</v>
      </c>
      <c r="Z181" s="172">
        <f t="shared" si="424"/>
        <v>-0.24183006535947713</v>
      </c>
      <c r="AA181" s="172">
        <f t="shared" si="425"/>
        <v>-0.28815165876777249</v>
      </c>
      <c r="AB181" s="172">
        <f t="shared" si="426"/>
        <v>-5.3438209536166483E-3</v>
      </c>
      <c r="AC181" s="172">
        <f t="shared" si="479"/>
        <v>-1.8181818181818181E-2</v>
      </c>
      <c r="AD181" s="172">
        <f t="shared" ref="AD181" si="494">(E181-E185)/E185</f>
        <v>0</v>
      </c>
      <c r="AE181" s="172" t="e">
        <f>(F181-#REF!)/#REF!</f>
        <v>#REF!</v>
      </c>
      <c r="AF181" s="172" t="e">
        <f>(G181-#REF!)/#REF!</f>
        <v>#REF!</v>
      </c>
      <c r="AG181" s="172" t="e">
        <f>(H181-#REF!)/#REF!</f>
        <v>#REF!</v>
      </c>
      <c r="AH181" s="172" t="e">
        <f>(I181-#REF!)/#REF!</f>
        <v>#REF!</v>
      </c>
      <c r="AI181" s="172" t="e">
        <f>(J181-#REF!)/#REF!</f>
        <v>#REF!</v>
      </c>
      <c r="AJ181" s="172" t="e">
        <f>(D181-#REF!)/#REF!</f>
        <v>#REF!</v>
      </c>
      <c r="AK181" s="172" t="e">
        <f>(E181-#REF!)/#REF!</f>
        <v>#REF!</v>
      </c>
    </row>
    <row r="182" spans="1:37" x14ac:dyDescent="0.3">
      <c r="A182" s="169">
        <v>44974</v>
      </c>
      <c r="B182" s="159">
        <f t="shared" si="436"/>
        <v>2023</v>
      </c>
      <c r="C182" s="159">
        <f t="shared" si="437"/>
        <v>2</v>
      </c>
      <c r="D182" s="190">
        <f>AVERAGEIFS(data!G:G,data!A:A,'weekly-forecast'!B182,data!B:B,'weekly-forecast'!C182)</f>
        <v>540</v>
      </c>
      <c r="E182" s="190">
        <f>AVERAGEIFS(data!F:F,data!A:A,'weekly-forecast'!B182,data!B:B,'weekly-forecast'!C182)</f>
        <v>500</v>
      </c>
      <c r="F182" s="190">
        <v>229</v>
      </c>
      <c r="G182" s="190">
        <v>685</v>
      </c>
      <c r="H182" s="190">
        <v>320</v>
      </c>
      <c r="I182" s="170">
        <v>2.4213999999999998</v>
      </c>
      <c r="J182" s="190">
        <v>83.632499999999993</v>
      </c>
      <c r="K182" s="201"/>
      <c r="L182" s="201"/>
      <c r="M182" s="201"/>
      <c r="N182" s="201"/>
      <c r="O182" s="201"/>
      <c r="P182" s="201"/>
      <c r="Q182" s="171">
        <f t="shared" si="439"/>
        <v>-0.2103448275862069</v>
      </c>
      <c r="R182" s="171">
        <f t="shared" si="440"/>
        <v>0</v>
      </c>
      <c r="S182" s="171">
        <f t="shared" si="441"/>
        <v>-6.569343065693431E-2</v>
      </c>
      <c r="T182" s="171">
        <f t="shared" si="442"/>
        <v>-2.2130684112753485E-2</v>
      </c>
      <c r="U182" s="171">
        <f t="shared" si="443"/>
        <v>0</v>
      </c>
      <c r="V182" s="171">
        <f t="shared" si="491"/>
        <v>0</v>
      </c>
      <c r="W182" s="171">
        <f t="shared" si="444"/>
        <v>0</v>
      </c>
      <c r="X182" s="172">
        <f t="shared" si="422"/>
        <v>-0.38933333333333331</v>
      </c>
      <c r="Y182" s="172">
        <f t="shared" si="423"/>
        <v>-0.20809248554913296</v>
      </c>
      <c r="Z182" s="172">
        <f t="shared" si="424"/>
        <v>-0.23809523809523808</v>
      </c>
      <c r="AA182" s="172">
        <f t="shared" si="425"/>
        <v>-0.27426944402817333</v>
      </c>
      <c r="AB182" s="172">
        <f t="shared" si="426"/>
        <v>-5.3438209536166483E-3</v>
      </c>
      <c r="AC182" s="172">
        <f t="shared" si="479"/>
        <v>-1.8181818181818181E-2</v>
      </c>
      <c r="AD182" s="172">
        <f t="shared" ref="AD182" si="495">(E182-E186)/E186</f>
        <v>0</v>
      </c>
      <c r="AE182" s="172" t="e">
        <f>(F182-#REF!)/#REF!</f>
        <v>#REF!</v>
      </c>
      <c r="AF182" s="172" t="e">
        <f>(G182-#REF!)/#REF!</f>
        <v>#REF!</v>
      </c>
      <c r="AG182" s="172" t="e">
        <f>(H182-#REF!)/#REF!</f>
        <v>#REF!</v>
      </c>
      <c r="AH182" s="172" t="e">
        <f>(I182-#REF!)/#REF!</f>
        <v>#REF!</v>
      </c>
      <c r="AI182" s="172" t="e">
        <f>(J182-#REF!)/#REF!</f>
        <v>#REF!</v>
      </c>
      <c r="AJ182" s="172" t="e">
        <f>(D182-#REF!)/#REF!</f>
        <v>#REF!</v>
      </c>
      <c r="AK182" s="172" t="e">
        <f>(E182-#REF!)/#REF!</f>
        <v>#REF!</v>
      </c>
    </row>
    <row r="183" spans="1:37" x14ac:dyDescent="0.3">
      <c r="A183" s="169">
        <v>44967</v>
      </c>
      <c r="B183" s="159">
        <f t="shared" si="436"/>
        <v>2023</v>
      </c>
      <c r="C183" s="159">
        <f t="shared" si="437"/>
        <v>2</v>
      </c>
      <c r="D183" s="190">
        <f>AVERAGEIFS(data!G:G,data!A:A,'weekly-forecast'!B183,data!B:B,'weekly-forecast'!C183)</f>
        <v>540</v>
      </c>
      <c r="E183" s="190">
        <f>AVERAGEIFS(data!F:F,data!A:A,'weekly-forecast'!B183,data!B:B,'weekly-forecast'!C183)</f>
        <v>500</v>
      </c>
      <c r="F183" s="190">
        <v>290</v>
      </c>
      <c r="G183" s="190">
        <v>685</v>
      </c>
      <c r="H183" s="190">
        <v>342.5</v>
      </c>
      <c r="I183" s="170">
        <v>2.4762</v>
      </c>
      <c r="J183" s="190">
        <v>83.632499999999993</v>
      </c>
      <c r="K183" s="201"/>
      <c r="L183" s="201"/>
      <c r="M183" s="201"/>
      <c r="N183" s="201"/>
      <c r="O183" s="201"/>
      <c r="P183" s="201"/>
      <c r="Q183" s="171">
        <f t="shared" si="439"/>
        <v>0</v>
      </c>
      <c r="R183" s="171">
        <f t="shared" si="440"/>
        <v>-7.246376811594203E-3</v>
      </c>
      <c r="S183" s="171">
        <f t="shared" si="441"/>
        <v>-1.4388489208633094E-2</v>
      </c>
      <c r="T183" s="171">
        <f t="shared" si="442"/>
        <v>-2.4734147302087509E-2</v>
      </c>
      <c r="U183" s="171">
        <f t="shared" si="443"/>
        <v>0</v>
      </c>
      <c r="V183" s="171">
        <f t="shared" si="491"/>
        <v>0</v>
      </c>
      <c r="W183" s="171">
        <f t="shared" si="444"/>
        <v>0</v>
      </c>
      <c r="X183" s="172">
        <f t="shared" si="422"/>
        <v>-0.22666666666666666</v>
      </c>
      <c r="Y183" s="172">
        <f t="shared" si="423"/>
        <v>-0.20809248554913296</v>
      </c>
      <c r="Z183" s="172">
        <f t="shared" si="424"/>
        <v>-0.11612903225806452</v>
      </c>
      <c r="AA183" s="172">
        <f t="shared" si="425"/>
        <v>-0.3246972837351369</v>
      </c>
      <c r="AB183" s="172">
        <f t="shared" si="426"/>
        <v>-5.3438209536166483E-3</v>
      </c>
      <c r="AC183" s="172">
        <f t="shared" si="479"/>
        <v>-1.8181818181818181E-2</v>
      </c>
      <c r="AD183" s="172">
        <f t="shared" ref="AD183" si="496">(E183-E187)/E187</f>
        <v>0</v>
      </c>
      <c r="AE183" s="172" t="e">
        <f>(F183-#REF!)/#REF!</f>
        <v>#REF!</v>
      </c>
      <c r="AF183" s="172" t="e">
        <f>(G183-#REF!)/#REF!</f>
        <v>#REF!</v>
      </c>
      <c r="AG183" s="172" t="e">
        <f>(H183-#REF!)/#REF!</f>
        <v>#REF!</v>
      </c>
      <c r="AH183" s="172" t="e">
        <f>(I183-#REF!)/#REF!</f>
        <v>#REF!</v>
      </c>
      <c r="AI183" s="172" t="e">
        <f>(J183-#REF!)/#REF!</f>
        <v>#REF!</v>
      </c>
      <c r="AJ183" s="172" t="e">
        <f>(D183-#REF!)/#REF!</f>
        <v>#REF!</v>
      </c>
      <c r="AK183" s="172" t="e">
        <f>(E183-#REF!)/#REF!</f>
        <v>#REF!</v>
      </c>
    </row>
    <row r="184" spans="1:37" x14ac:dyDescent="0.3">
      <c r="A184" s="169">
        <v>44960</v>
      </c>
      <c r="B184" s="159">
        <f t="shared" si="436"/>
        <v>2023</v>
      </c>
      <c r="C184" s="159">
        <f t="shared" si="437"/>
        <v>2</v>
      </c>
      <c r="D184" s="190">
        <f>AVERAGEIFS(data!G:G,data!A:A,'weekly-forecast'!B184,data!B:B,'weekly-forecast'!C184)</f>
        <v>540</v>
      </c>
      <c r="E184" s="190">
        <f>AVERAGEIFS(data!F:F,data!A:A,'weekly-forecast'!B184,data!B:B,'weekly-forecast'!C184)</f>
        <v>500</v>
      </c>
      <c r="F184" s="190">
        <v>290</v>
      </c>
      <c r="G184" s="190">
        <v>690</v>
      </c>
      <c r="H184" s="190">
        <v>347.5</v>
      </c>
      <c r="I184" s="170">
        <v>2.5390000000000001</v>
      </c>
      <c r="J184" s="190">
        <v>83.632499999999993</v>
      </c>
      <c r="K184" s="202"/>
      <c r="L184" s="202"/>
      <c r="M184" s="202"/>
      <c r="N184" s="202"/>
      <c r="O184" s="202"/>
      <c r="P184" s="202"/>
      <c r="Q184" s="171">
        <f t="shared" si="439"/>
        <v>0</v>
      </c>
      <c r="R184" s="171">
        <f t="shared" si="440"/>
        <v>-1.4285714285714285E-2</v>
      </c>
      <c r="S184" s="171">
        <f t="shared" si="441"/>
        <v>-9.1503267973856203E-2</v>
      </c>
      <c r="T184" s="171">
        <f t="shared" si="442"/>
        <v>-0.19778830963665084</v>
      </c>
      <c r="U184" s="171">
        <f t="shared" si="443"/>
        <v>-5.3438209536166483E-3</v>
      </c>
      <c r="V184" s="171">
        <f t="shared" si="491"/>
        <v>-1.8181818181818181E-2</v>
      </c>
      <c r="W184" s="171">
        <f t="shared" si="444"/>
        <v>0</v>
      </c>
      <c r="X184" s="172">
        <f t="shared" si="422"/>
        <v>-0.22666666666666666</v>
      </c>
      <c r="Y184" s="172">
        <f t="shared" si="423"/>
        <v>-0.19298245614035087</v>
      </c>
      <c r="Z184" s="172">
        <f t="shared" si="424"/>
        <v>-0.28350515463917525</v>
      </c>
      <c r="AA184" s="172">
        <f t="shared" si="425"/>
        <v>-0.34855676715843487</v>
      </c>
      <c r="AB184" s="172">
        <f t="shared" si="426"/>
        <v>-5.3438209536166483E-3</v>
      </c>
      <c r="AC184" s="172">
        <f t="shared" si="479"/>
        <v>-1.8181818181818181E-2</v>
      </c>
      <c r="AD184" s="172">
        <f t="shared" ref="AD184" si="497">(E184-E188)/E188</f>
        <v>0</v>
      </c>
      <c r="AE184" s="172" t="e">
        <f>(F184-#REF!)/#REF!</f>
        <v>#REF!</v>
      </c>
      <c r="AF184" s="172" t="e">
        <f>(G184-#REF!)/#REF!</f>
        <v>#REF!</v>
      </c>
      <c r="AG184" s="172" t="e">
        <f>(H184-#REF!)/#REF!</f>
        <v>#REF!</v>
      </c>
      <c r="AH184" s="172" t="e">
        <f>(I184-#REF!)/#REF!</f>
        <v>#REF!</v>
      </c>
      <c r="AI184" s="172" t="e">
        <f>(J184-#REF!)/#REF!</f>
        <v>#REF!</v>
      </c>
      <c r="AJ184" s="172" t="e">
        <f>(D184-#REF!)/#REF!</f>
        <v>#REF!</v>
      </c>
      <c r="AK184" s="172" t="e">
        <f>(E184-#REF!)/#REF!</f>
        <v>#REF!</v>
      </c>
    </row>
    <row r="185" spans="1:37" x14ac:dyDescent="0.3">
      <c r="A185" s="169">
        <v>44953</v>
      </c>
      <c r="B185" s="159">
        <f t="shared" si="436"/>
        <v>2023</v>
      </c>
      <c r="C185" s="159">
        <f t="shared" si="437"/>
        <v>1</v>
      </c>
      <c r="D185" s="190">
        <f>AVERAGEIFS(data!G:G,data!A:A,'weekly-forecast'!B185,data!B:B,'weekly-forecast'!C185)</f>
        <v>550</v>
      </c>
      <c r="E185" s="190">
        <f>AVERAGEIFS(data!F:F,data!A:A,'weekly-forecast'!B185,data!B:B,'weekly-forecast'!C185)</f>
        <v>500</v>
      </c>
      <c r="F185" s="190">
        <v>290</v>
      </c>
      <c r="G185" s="190">
        <v>700</v>
      </c>
      <c r="H185" s="190">
        <v>382.5</v>
      </c>
      <c r="I185" s="170">
        <v>3.165</v>
      </c>
      <c r="J185" s="190">
        <v>84.081818181818178</v>
      </c>
      <c r="K185" s="200">
        <f>AVERAGE(D185:D188)</f>
        <v>550</v>
      </c>
      <c r="L185" s="200">
        <f t="shared" ref="L185:P185" si="498">AVERAGE(E185:E188)</f>
        <v>500</v>
      </c>
      <c r="M185" s="200">
        <f t="shared" si="498"/>
        <v>353.75</v>
      </c>
      <c r="N185" s="200">
        <f t="shared" si="498"/>
        <v>821.25</v>
      </c>
      <c r="O185" s="200">
        <f t="shared" si="498"/>
        <v>418.75</v>
      </c>
      <c r="P185" s="200">
        <f t="shared" si="498"/>
        <v>3.5164499999999999</v>
      </c>
      <c r="Q185" s="171">
        <f t="shared" si="439"/>
        <v>-0.22666666666666666</v>
      </c>
      <c r="R185" s="171">
        <f t="shared" si="440"/>
        <v>-0.19075144508670519</v>
      </c>
      <c r="S185" s="171">
        <f t="shared" si="441"/>
        <v>-8.9285714285714288E-2</v>
      </c>
      <c r="T185" s="171">
        <f t="shared" si="442"/>
        <v>-5.140116888955492E-2</v>
      </c>
      <c r="U185" s="171">
        <f t="shared" si="443"/>
        <v>0</v>
      </c>
      <c r="V185" s="171">
        <f t="shared" si="491"/>
        <v>0</v>
      </c>
      <c r="W185" s="171">
        <f t="shared" si="444"/>
        <v>0</v>
      </c>
      <c r="X185" s="172">
        <f t="shared" si="422"/>
        <v>-0.22666666666666666</v>
      </c>
      <c r="Y185" s="172">
        <f t="shared" si="423"/>
        <v>-0.18128654970760233</v>
      </c>
      <c r="Z185" s="172">
        <f t="shared" si="424"/>
        <v>-0.21134020618556701</v>
      </c>
      <c r="AA185" s="172">
        <f t="shared" si="425"/>
        <v>-0.33455978975032846</v>
      </c>
      <c r="AB185" s="172">
        <f t="shared" si="426"/>
        <v>3.1638474794625969E-2</v>
      </c>
      <c r="AC185" s="172">
        <f t="shared" si="479"/>
        <v>1.8518518518518517E-2</v>
      </c>
      <c r="AD185" s="172">
        <f t="shared" ref="AD185" si="499">(E185-E189)/E189</f>
        <v>0</v>
      </c>
      <c r="AE185" s="172" t="e">
        <f>(F185-#REF!)/#REF!</f>
        <v>#REF!</v>
      </c>
      <c r="AF185" s="172" t="e">
        <f>(G185-#REF!)/#REF!</f>
        <v>#REF!</v>
      </c>
      <c r="AG185" s="172" t="e">
        <f>(H185-#REF!)/#REF!</f>
        <v>#REF!</v>
      </c>
      <c r="AH185" s="172" t="e">
        <f>(I185-#REF!)/#REF!</f>
        <v>#REF!</v>
      </c>
      <c r="AI185" s="172" t="e">
        <f>(J185-#REF!)/#REF!</f>
        <v>#REF!</v>
      </c>
      <c r="AJ185" s="172" t="e">
        <f>(D185-#REF!)/#REF!</f>
        <v>#REF!</v>
      </c>
      <c r="AK185" s="172" t="e">
        <f>(E185-#REF!)/#REF!</f>
        <v>#REF!</v>
      </c>
    </row>
    <row r="186" spans="1:37" x14ac:dyDescent="0.3">
      <c r="A186" s="169">
        <v>44946</v>
      </c>
      <c r="B186" s="159">
        <f t="shared" si="436"/>
        <v>2023</v>
      </c>
      <c r="C186" s="159">
        <f t="shared" si="437"/>
        <v>1</v>
      </c>
      <c r="D186" s="190">
        <f>AVERAGEIFS(data!G:G,data!A:A,'weekly-forecast'!B186,data!B:B,'weekly-forecast'!C186)</f>
        <v>550</v>
      </c>
      <c r="E186" s="190">
        <f>AVERAGEIFS(data!F:F,data!A:A,'weekly-forecast'!B186,data!B:B,'weekly-forecast'!C186)</f>
        <v>500</v>
      </c>
      <c r="F186" s="190">
        <v>375</v>
      </c>
      <c r="G186" s="190">
        <v>865</v>
      </c>
      <c r="H186" s="190">
        <v>420</v>
      </c>
      <c r="I186" s="170">
        <v>3.3365</v>
      </c>
      <c r="J186" s="190">
        <v>84.081818181818178</v>
      </c>
      <c r="K186" s="201"/>
      <c r="L186" s="201"/>
      <c r="M186" s="201"/>
      <c r="N186" s="201"/>
      <c r="O186" s="201"/>
      <c r="P186" s="201"/>
      <c r="Q186" s="171">
        <f t="shared" si="439"/>
        <v>0</v>
      </c>
      <c r="R186" s="171">
        <f t="shared" si="440"/>
        <v>0</v>
      </c>
      <c r="S186" s="171">
        <f t="shared" si="441"/>
        <v>8.387096774193549E-2</v>
      </c>
      <c r="T186" s="171">
        <f t="shared" si="442"/>
        <v>-9.0078542598450925E-2</v>
      </c>
      <c r="U186" s="171">
        <f t="shared" si="443"/>
        <v>0</v>
      </c>
      <c r="V186" s="171">
        <f t="shared" si="491"/>
        <v>0</v>
      </c>
      <c r="W186" s="171">
        <f t="shared" si="444"/>
        <v>0</v>
      </c>
      <c r="X186" s="172">
        <f t="shared" si="422"/>
        <v>5.0420168067226892E-2</v>
      </c>
      <c r="Y186" s="172">
        <f t="shared" si="423"/>
        <v>0</v>
      </c>
      <c r="Z186" s="172">
        <f t="shared" si="424"/>
        <v>-0.13402061855670103</v>
      </c>
      <c r="AA186" s="172">
        <f t="shared" si="425"/>
        <v>-0.37253168841915224</v>
      </c>
      <c r="AB186" s="172">
        <f t="shared" si="426"/>
        <v>3.1638474794625969E-2</v>
      </c>
      <c r="AC186" s="172">
        <f t="shared" si="479"/>
        <v>1.8518518518518517E-2</v>
      </c>
      <c r="AD186" s="172">
        <f t="shared" ref="AD186" si="500">(E186-E190)/E190</f>
        <v>0</v>
      </c>
      <c r="AE186" s="172" t="e">
        <f>(F186-#REF!)/#REF!</f>
        <v>#REF!</v>
      </c>
      <c r="AF186" s="172" t="e">
        <f>(G186-#REF!)/#REF!</f>
        <v>#REF!</v>
      </c>
      <c r="AG186" s="172" t="e">
        <f>(H186-#REF!)/#REF!</f>
        <v>#REF!</v>
      </c>
      <c r="AH186" s="172" t="e">
        <f>(I186-#REF!)/#REF!</f>
        <v>#REF!</v>
      </c>
      <c r="AI186" s="172" t="e">
        <f>(J186-#REF!)/#REF!</f>
        <v>#REF!</v>
      </c>
      <c r="AJ186" s="172" t="e">
        <f>(D186-#REF!)/#REF!</f>
        <v>#REF!</v>
      </c>
      <c r="AK186" s="172" t="e">
        <f>(E186-#REF!)/#REF!</f>
        <v>#REF!</v>
      </c>
    </row>
    <row r="187" spans="1:37" x14ac:dyDescent="0.3">
      <c r="A187" s="169">
        <v>44939</v>
      </c>
      <c r="B187" s="159">
        <f t="shared" si="436"/>
        <v>2023</v>
      </c>
      <c r="C187" s="159">
        <f t="shared" si="437"/>
        <v>1</v>
      </c>
      <c r="D187" s="190">
        <f>AVERAGEIFS(data!G:G,data!A:A,'weekly-forecast'!B187,data!B:B,'weekly-forecast'!C187)</f>
        <v>550</v>
      </c>
      <c r="E187" s="190">
        <f>AVERAGEIFS(data!F:F,data!A:A,'weekly-forecast'!B187,data!B:B,'weekly-forecast'!C187)</f>
        <v>500</v>
      </c>
      <c r="F187" s="190">
        <v>375</v>
      </c>
      <c r="G187" s="190">
        <v>865</v>
      </c>
      <c r="H187" s="190">
        <v>387.5</v>
      </c>
      <c r="I187" s="170">
        <v>3.6667999999999998</v>
      </c>
      <c r="J187" s="190">
        <v>84.081818181818178</v>
      </c>
      <c r="K187" s="201"/>
      <c r="L187" s="201"/>
      <c r="M187" s="201"/>
      <c r="N187" s="201"/>
      <c r="O187" s="201"/>
      <c r="P187" s="201"/>
      <c r="Q187" s="171">
        <f t="shared" si="439"/>
        <v>0</v>
      </c>
      <c r="R187" s="171">
        <f t="shared" si="440"/>
        <v>1.1695906432748537E-2</v>
      </c>
      <c r="S187" s="171">
        <f t="shared" si="441"/>
        <v>-0.20103092783505155</v>
      </c>
      <c r="T187" s="171">
        <f t="shared" si="442"/>
        <v>-5.9191789608723573E-2</v>
      </c>
      <c r="U187" s="171">
        <f t="shared" si="443"/>
        <v>0</v>
      </c>
      <c r="V187" s="171">
        <f t="shared" si="491"/>
        <v>0</v>
      </c>
      <c r="W187" s="171">
        <f t="shared" si="444"/>
        <v>0</v>
      </c>
      <c r="X187" s="172">
        <f t="shared" si="422"/>
        <v>-8.4249084249084255E-2</v>
      </c>
      <c r="Y187" s="172">
        <f t="shared" si="423"/>
        <v>0</v>
      </c>
      <c r="Z187" s="172">
        <f t="shared" si="424"/>
        <v>-0.20103092783505155</v>
      </c>
      <c r="AA187" s="172">
        <f t="shared" si="425"/>
        <v>-0.45307559214843984</v>
      </c>
      <c r="AB187" s="172">
        <f t="shared" si="426"/>
        <v>3.1638474794625969E-2</v>
      </c>
      <c r="AC187" s="172">
        <f t="shared" si="479"/>
        <v>1.8518518518518517E-2</v>
      </c>
      <c r="AD187" s="172">
        <f t="shared" ref="AD187" si="501">(E187-E191)/E191</f>
        <v>0</v>
      </c>
      <c r="AE187" s="172" t="e">
        <f>(F187-#REF!)/#REF!</f>
        <v>#REF!</v>
      </c>
      <c r="AF187" s="172" t="e">
        <f>(G187-#REF!)/#REF!</f>
        <v>#REF!</v>
      </c>
      <c r="AG187" s="172" t="e">
        <f>(H187-#REF!)/#REF!</f>
        <v>#REF!</v>
      </c>
      <c r="AH187" s="172" t="e">
        <f>(I187-#REF!)/#REF!</f>
        <v>#REF!</v>
      </c>
      <c r="AI187" s="172" t="e">
        <f>(J187-#REF!)/#REF!</f>
        <v>#REF!</v>
      </c>
      <c r="AJ187" s="172" t="e">
        <f>(D187-#REF!)/#REF!</f>
        <v>#REF!</v>
      </c>
      <c r="AK187" s="172" t="e">
        <f>(E187-#REF!)/#REF!</f>
        <v>#REF!</v>
      </c>
    </row>
    <row r="188" spans="1:37" x14ac:dyDescent="0.3">
      <c r="A188" s="169">
        <v>44932</v>
      </c>
      <c r="B188" s="159">
        <f t="shared" si="436"/>
        <v>2023</v>
      </c>
      <c r="C188" s="159">
        <f t="shared" si="437"/>
        <v>1</v>
      </c>
      <c r="D188" s="190">
        <f>AVERAGEIFS(data!G:G,data!A:A,'weekly-forecast'!B188,data!B:B,'weekly-forecast'!C188)</f>
        <v>550</v>
      </c>
      <c r="E188" s="190">
        <f>AVERAGEIFS(data!F:F,data!A:A,'weekly-forecast'!B188,data!B:B,'weekly-forecast'!C188)</f>
        <v>500</v>
      </c>
      <c r="F188" s="190">
        <v>375</v>
      </c>
      <c r="G188" s="190">
        <v>855</v>
      </c>
      <c r="H188" s="190">
        <v>485</v>
      </c>
      <c r="I188" s="170">
        <v>3.8975</v>
      </c>
      <c r="J188" s="190">
        <v>84.081818181818178</v>
      </c>
      <c r="K188" s="202"/>
      <c r="L188" s="202"/>
      <c r="M188" s="202"/>
      <c r="N188" s="202"/>
      <c r="O188" s="202"/>
      <c r="P188" s="202"/>
      <c r="Q188" s="171">
        <f t="shared" si="439"/>
        <v>0</v>
      </c>
      <c r="R188" s="171">
        <f t="shared" si="440"/>
        <v>0</v>
      </c>
      <c r="S188" s="171">
        <f t="shared" si="441"/>
        <v>0</v>
      </c>
      <c r="T188" s="171">
        <f t="shared" si="442"/>
        <v>-0.18055190538764779</v>
      </c>
      <c r="U188" s="171">
        <f t="shared" si="443"/>
        <v>3.1638474794625969E-2</v>
      </c>
      <c r="V188" s="171">
        <f t="shared" si="491"/>
        <v>1.8518518518518517E-2</v>
      </c>
      <c r="W188" s="171">
        <f t="shared" si="444"/>
        <v>0</v>
      </c>
      <c r="X188" s="172">
        <f t="shared" si="422"/>
        <v>-8.4249084249084255E-2</v>
      </c>
      <c r="Y188" s="172">
        <f t="shared" si="423"/>
        <v>-1.1560693641618497E-2</v>
      </c>
      <c r="Z188" s="172">
        <f t="shared" si="424"/>
        <v>0</v>
      </c>
      <c r="AA188" s="172">
        <f t="shared" si="425"/>
        <v>-0.3274606570955273</v>
      </c>
      <c r="AB188" s="172">
        <f t="shared" si="426"/>
        <v>3.1638474794625969E-2</v>
      </c>
      <c r="AC188" s="172">
        <f t="shared" si="479"/>
        <v>1.8518518518518517E-2</v>
      </c>
      <c r="AD188" s="172">
        <f t="shared" ref="AD188" si="502">(E188-E192)/E192</f>
        <v>0</v>
      </c>
      <c r="AE188" s="172" t="e">
        <f>(F188-#REF!)/#REF!</f>
        <v>#REF!</v>
      </c>
      <c r="AF188" s="172" t="e">
        <f>(G188-#REF!)/#REF!</f>
        <v>#REF!</v>
      </c>
      <c r="AG188" s="172" t="e">
        <f>(H188-#REF!)/#REF!</f>
        <v>#REF!</v>
      </c>
      <c r="AH188" s="172" t="e">
        <f>(I188-#REF!)/#REF!</f>
        <v>#REF!</v>
      </c>
      <c r="AI188" s="172" t="e">
        <f>(J188-#REF!)/#REF!</f>
        <v>#REF!</v>
      </c>
      <c r="AJ188" s="172" t="e">
        <f>(D188-#REF!)/#REF!</f>
        <v>#REF!</v>
      </c>
      <c r="AK188" s="172" t="e">
        <f>(E188-#REF!)/#REF!</f>
        <v>#REF!</v>
      </c>
    </row>
    <row r="189" spans="1:37" x14ac:dyDescent="0.3">
      <c r="A189" s="169">
        <v>44925</v>
      </c>
      <c r="B189" s="159">
        <f t="shared" si="436"/>
        <v>2022</v>
      </c>
      <c r="C189" s="159">
        <f t="shared" si="437"/>
        <v>12</v>
      </c>
      <c r="D189" s="190">
        <f>AVERAGEIFS(data!G:G,data!A:A,'weekly-forecast'!B189,data!B:B,'weekly-forecast'!C189)</f>
        <v>540</v>
      </c>
      <c r="E189" s="190">
        <f>AVERAGEIFS(data!F:F,data!A:A,'weekly-forecast'!B189,data!B:B,'weekly-forecast'!C189)</f>
        <v>500</v>
      </c>
      <c r="F189" s="190">
        <v>375</v>
      </c>
      <c r="G189" s="190">
        <v>855</v>
      </c>
      <c r="H189" s="190">
        <v>485</v>
      </c>
      <c r="I189" s="170">
        <v>4.7562499999999996</v>
      </c>
      <c r="J189" s="190">
        <v>81.503181818181815</v>
      </c>
      <c r="K189" s="200">
        <f>AVERAGE(D189:D193)</f>
        <v>540</v>
      </c>
      <c r="L189" s="200">
        <f t="shared" ref="L189:P189" si="503">AVERAGE(E189:E193)</f>
        <v>500</v>
      </c>
      <c r="M189" s="200">
        <f t="shared" si="503"/>
        <v>388.6</v>
      </c>
      <c r="N189" s="200">
        <f t="shared" si="503"/>
        <v>894.5</v>
      </c>
      <c r="O189" s="200">
        <f t="shared" si="503"/>
        <v>491.5</v>
      </c>
      <c r="P189" s="200">
        <f t="shared" si="503"/>
        <v>5.8704900000000002</v>
      </c>
      <c r="Q189" s="171">
        <f t="shared" si="439"/>
        <v>5.0420168067226892E-2</v>
      </c>
      <c r="R189" s="171">
        <f t="shared" si="440"/>
        <v>-1.1560693641618497E-2</v>
      </c>
      <c r="S189" s="171">
        <f t="shared" si="441"/>
        <v>0</v>
      </c>
      <c r="T189" s="171">
        <f t="shared" si="442"/>
        <v>-0.10553089855944643</v>
      </c>
      <c r="U189" s="171">
        <f t="shared" si="443"/>
        <v>0</v>
      </c>
      <c r="V189" s="171">
        <f t="shared" si="491"/>
        <v>0</v>
      </c>
      <c r="W189" s="171">
        <f t="shared" si="444"/>
        <v>0</v>
      </c>
      <c r="X189" s="172">
        <f t="shared" si="422"/>
        <v>-4.336734693877551E-2</v>
      </c>
      <c r="Y189" s="172">
        <f t="shared" si="423"/>
        <v>-0.16381418092909536</v>
      </c>
      <c r="Z189" s="172">
        <f t="shared" si="424"/>
        <v>-6.280193236714976E-2</v>
      </c>
      <c r="AA189" s="172">
        <f t="shared" si="425"/>
        <v>-0.29840541656832675</v>
      </c>
      <c r="AB189" s="172">
        <f t="shared" si="426"/>
        <v>0</v>
      </c>
      <c r="AC189" s="172">
        <f t="shared" si="479"/>
        <v>0</v>
      </c>
      <c r="AD189" s="172">
        <f t="shared" ref="AD189" si="504">(E189-E193)/E193</f>
        <v>0</v>
      </c>
      <c r="AE189" s="172" t="e">
        <f>(F189-#REF!)/#REF!</f>
        <v>#REF!</v>
      </c>
      <c r="AF189" s="172" t="e">
        <f>(G189-#REF!)/#REF!</f>
        <v>#REF!</v>
      </c>
      <c r="AG189" s="172" t="e">
        <f>(H189-#REF!)/#REF!</f>
        <v>#REF!</v>
      </c>
      <c r="AH189" s="172" t="e">
        <f>(I189-#REF!)/#REF!</f>
        <v>#REF!</v>
      </c>
      <c r="AI189" s="172" t="e">
        <f>(J189-#REF!)/#REF!</f>
        <v>#REF!</v>
      </c>
      <c r="AJ189" s="172" t="e">
        <f>(D189-#REF!)/#REF!</f>
        <v>#REF!</v>
      </c>
      <c r="AK189" s="172" t="e">
        <f>(E189-#REF!)/#REF!</f>
        <v>#REF!</v>
      </c>
    </row>
    <row r="190" spans="1:37" x14ac:dyDescent="0.3">
      <c r="A190" s="169">
        <v>44918</v>
      </c>
      <c r="B190" s="159">
        <f t="shared" si="436"/>
        <v>2022</v>
      </c>
      <c r="C190" s="159">
        <f t="shared" si="437"/>
        <v>12</v>
      </c>
      <c r="D190" s="190">
        <f>AVERAGEIFS(data!G:G,data!A:A,'weekly-forecast'!B190,data!B:B,'weekly-forecast'!C190)</f>
        <v>540</v>
      </c>
      <c r="E190" s="190">
        <f>AVERAGEIFS(data!F:F,data!A:A,'weekly-forecast'!B190,data!B:B,'weekly-forecast'!C190)</f>
        <v>500</v>
      </c>
      <c r="F190" s="190">
        <v>357</v>
      </c>
      <c r="G190" s="190">
        <v>865</v>
      </c>
      <c r="H190" s="190">
        <v>485</v>
      </c>
      <c r="I190" s="170">
        <v>5.3174000000000001</v>
      </c>
      <c r="J190" s="190">
        <v>81.503181818181815</v>
      </c>
      <c r="K190" s="201"/>
      <c r="L190" s="201"/>
      <c r="M190" s="201"/>
      <c r="N190" s="201"/>
      <c r="O190" s="201"/>
      <c r="P190" s="201"/>
      <c r="Q190" s="171">
        <f t="shared" si="439"/>
        <v>-0.12820512820512819</v>
      </c>
      <c r="R190" s="171">
        <f t="shared" si="440"/>
        <v>0</v>
      </c>
      <c r="S190" s="171">
        <f t="shared" si="441"/>
        <v>0</v>
      </c>
      <c r="T190" s="171">
        <f t="shared" si="442"/>
        <v>-0.20687906449495849</v>
      </c>
      <c r="U190" s="171">
        <f t="shared" si="443"/>
        <v>0</v>
      </c>
      <c r="V190" s="171">
        <f t="shared" si="491"/>
        <v>0</v>
      </c>
      <c r="W190" s="171">
        <f t="shared" si="444"/>
        <v>0</v>
      </c>
      <c r="X190" s="172">
        <f t="shared" si="422"/>
        <v>-8.9285714285714288E-2</v>
      </c>
      <c r="Y190" s="172">
        <f t="shared" si="423"/>
        <v>-0.15403422982885084</v>
      </c>
      <c r="Z190" s="172">
        <f t="shared" si="424"/>
        <v>-6.280193236714976E-2</v>
      </c>
      <c r="AA190" s="172">
        <f t="shared" si="425"/>
        <v>-0.23729336249865529</v>
      </c>
      <c r="AB190" s="172">
        <f t="shared" si="426"/>
        <v>-0.10375627920925701</v>
      </c>
      <c r="AC190" s="172">
        <f t="shared" si="479"/>
        <v>-1.8181818181818181E-2</v>
      </c>
      <c r="AD190" s="172">
        <f t="shared" ref="AD190" si="505">(E190-E194)/E194</f>
        <v>0</v>
      </c>
      <c r="AE190" s="172" t="e">
        <f>(F190-#REF!)/#REF!</f>
        <v>#REF!</v>
      </c>
      <c r="AF190" s="172" t="e">
        <f>(G190-#REF!)/#REF!</f>
        <v>#REF!</v>
      </c>
      <c r="AG190" s="172" t="e">
        <f>(H190-#REF!)/#REF!</f>
        <v>#REF!</v>
      </c>
      <c r="AH190" s="172" t="e">
        <f>(I190-#REF!)/#REF!</f>
        <v>#REF!</v>
      </c>
      <c r="AI190" s="172" t="e">
        <f>(J190-#REF!)/#REF!</f>
        <v>#REF!</v>
      </c>
      <c r="AJ190" s="172" t="e">
        <f>(D190-#REF!)/#REF!</f>
        <v>#REF!</v>
      </c>
      <c r="AK190" s="172" t="e">
        <f>(E190-#REF!)/#REF!</f>
        <v>#REF!</v>
      </c>
    </row>
    <row r="191" spans="1:37" x14ac:dyDescent="0.3">
      <c r="A191" s="169">
        <v>44911</v>
      </c>
      <c r="B191" s="159">
        <f t="shared" si="436"/>
        <v>2022</v>
      </c>
      <c r="C191" s="159">
        <f t="shared" si="437"/>
        <v>12</v>
      </c>
      <c r="D191" s="190">
        <f>AVERAGEIFS(data!G:G,data!A:A,'weekly-forecast'!B191,data!B:B,'weekly-forecast'!C191)</f>
        <v>540</v>
      </c>
      <c r="E191" s="190">
        <f>AVERAGEIFS(data!F:F,data!A:A,'weekly-forecast'!B191,data!B:B,'weekly-forecast'!C191)</f>
        <v>500</v>
      </c>
      <c r="F191" s="190">
        <v>409.5</v>
      </c>
      <c r="G191" s="190">
        <v>865</v>
      </c>
      <c r="H191" s="190">
        <v>485</v>
      </c>
      <c r="I191" s="170">
        <v>6.7043999999999997</v>
      </c>
      <c r="J191" s="190">
        <v>81.503181818181815</v>
      </c>
      <c r="K191" s="201"/>
      <c r="L191" s="201"/>
      <c r="M191" s="201"/>
      <c r="N191" s="201"/>
      <c r="O191" s="201"/>
      <c r="P191" s="201"/>
      <c r="Q191" s="171">
        <f t="shared" si="439"/>
        <v>0</v>
      </c>
      <c r="R191" s="171">
        <f t="shared" si="440"/>
        <v>0</v>
      </c>
      <c r="S191" s="171">
        <f t="shared" si="441"/>
        <v>0</v>
      </c>
      <c r="T191" s="171">
        <f t="shared" si="442"/>
        <v>0.15688845941468807</v>
      </c>
      <c r="U191" s="171">
        <f t="shared" si="443"/>
        <v>0</v>
      </c>
      <c r="V191" s="171">
        <f t="shared" si="491"/>
        <v>0</v>
      </c>
      <c r="W191" s="171">
        <f t="shared" si="444"/>
        <v>0</v>
      </c>
      <c r="X191" s="172">
        <f t="shared" si="422"/>
        <v>4.4642857142857144E-2</v>
      </c>
      <c r="Y191" s="172">
        <f t="shared" si="423"/>
        <v>-0.15403422982885084</v>
      </c>
      <c r="Z191" s="172">
        <f t="shared" si="424"/>
        <v>-6.280193236714976E-2</v>
      </c>
      <c r="AA191" s="172">
        <f t="shared" si="425"/>
        <v>8.7000226985310805E-2</v>
      </c>
      <c r="AB191" s="172">
        <f t="shared" si="426"/>
        <v>-0.10375627920925701</v>
      </c>
      <c r="AC191" s="172">
        <f t="shared" si="479"/>
        <v>-1.8181818181818181E-2</v>
      </c>
      <c r="AD191" s="172">
        <f t="shared" ref="AD191" si="506">(E191-E195)/E195</f>
        <v>0</v>
      </c>
      <c r="AE191" s="172" t="e">
        <f>(F191-#REF!)/#REF!</f>
        <v>#REF!</v>
      </c>
      <c r="AF191" s="172" t="e">
        <f>(G191-#REF!)/#REF!</f>
        <v>#REF!</v>
      </c>
      <c r="AG191" s="172" t="e">
        <f>(H191-#REF!)/#REF!</f>
        <v>#REF!</v>
      </c>
      <c r="AH191" s="172" t="e">
        <f>(I191-#REF!)/#REF!</f>
        <v>#REF!</v>
      </c>
      <c r="AI191" s="172" t="e">
        <f>(J191-#REF!)/#REF!</f>
        <v>#REF!</v>
      </c>
      <c r="AJ191" s="172" t="e">
        <f>(D191-#REF!)/#REF!</f>
        <v>#REF!</v>
      </c>
      <c r="AK191" s="172" t="e">
        <f>(E191-#REF!)/#REF!</f>
        <v>#REF!</v>
      </c>
    </row>
    <row r="192" spans="1:37" x14ac:dyDescent="0.3">
      <c r="A192" s="169">
        <v>44904</v>
      </c>
      <c r="B192" s="159">
        <f t="shared" si="436"/>
        <v>2022</v>
      </c>
      <c r="C192" s="159">
        <f t="shared" si="437"/>
        <v>12</v>
      </c>
      <c r="D192" s="190">
        <f>AVERAGEIFS(data!G:G,data!A:A,'weekly-forecast'!B192,data!B:B,'weekly-forecast'!C192)</f>
        <v>540</v>
      </c>
      <c r="E192" s="190">
        <f>AVERAGEIFS(data!F:F,data!A:A,'weekly-forecast'!B192,data!B:B,'weekly-forecast'!C192)</f>
        <v>500</v>
      </c>
      <c r="F192" s="190">
        <v>409.5</v>
      </c>
      <c r="G192" s="190">
        <v>865</v>
      </c>
      <c r="H192" s="190">
        <v>485</v>
      </c>
      <c r="I192" s="170">
        <v>5.7951999999999995</v>
      </c>
      <c r="J192" s="190">
        <v>81.503181818181815</v>
      </c>
      <c r="K192" s="201"/>
      <c r="L192" s="201"/>
      <c r="M192" s="201"/>
      <c r="N192" s="201"/>
      <c r="O192" s="201"/>
      <c r="P192" s="201"/>
      <c r="Q192" s="171">
        <f t="shared" si="439"/>
        <v>4.4642857142857144E-2</v>
      </c>
      <c r="R192" s="171">
        <f t="shared" si="440"/>
        <v>-0.15403422982885084</v>
      </c>
      <c r="S192" s="171">
        <f t="shared" si="441"/>
        <v>-6.280193236714976E-2</v>
      </c>
      <c r="T192" s="171">
        <f t="shared" si="442"/>
        <v>-0.14514987019117312</v>
      </c>
      <c r="U192" s="171">
        <f t="shared" si="443"/>
        <v>0</v>
      </c>
      <c r="V192" s="171">
        <f t="shared" si="491"/>
        <v>0</v>
      </c>
      <c r="W192" s="171">
        <f t="shared" si="444"/>
        <v>0</v>
      </c>
      <c r="X192" s="172">
        <f t="shared" si="422"/>
        <v>4.4642857142857144E-2</v>
      </c>
      <c r="Y192" s="172">
        <f t="shared" si="423"/>
        <v>-0.15403422982885084</v>
      </c>
      <c r="Z192" s="172">
        <f t="shared" si="424"/>
        <v>-6.280193236714976E-2</v>
      </c>
      <c r="AA192" s="172">
        <f t="shared" si="425"/>
        <v>-6.7246096893610136E-2</v>
      </c>
      <c r="AB192" s="172">
        <f t="shared" si="426"/>
        <v>-0.10375627920925701</v>
      </c>
      <c r="AC192" s="172">
        <f t="shared" si="479"/>
        <v>-1.8181818181818181E-2</v>
      </c>
      <c r="AD192" s="172">
        <f t="shared" ref="AD192" si="507">(E192-E196)/E196</f>
        <v>0</v>
      </c>
      <c r="AE192" s="172" t="e">
        <f>(F192-#REF!)/#REF!</f>
        <v>#REF!</v>
      </c>
      <c r="AF192" s="172" t="e">
        <f>(G192-#REF!)/#REF!</f>
        <v>#REF!</v>
      </c>
      <c r="AG192" s="172" t="e">
        <f>(H192-#REF!)/#REF!</f>
        <v>#REF!</v>
      </c>
      <c r="AH192" s="172" t="e">
        <f>(I192-#REF!)/#REF!</f>
        <v>#REF!</v>
      </c>
      <c r="AI192" s="172" t="e">
        <f>(J192-#REF!)/#REF!</f>
        <v>#REF!</v>
      </c>
      <c r="AJ192" s="172" t="e">
        <f>(D192-#REF!)/#REF!</f>
        <v>#REF!</v>
      </c>
      <c r="AK192" s="172" t="e">
        <f>(E192-#REF!)/#REF!</f>
        <v>#REF!</v>
      </c>
    </row>
    <row r="193" spans="1:37" x14ac:dyDescent="0.3">
      <c r="A193" s="169">
        <v>44897</v>
      </c>
      <c r="B193" s="159">
        <f t="shared" si="436"/>
        <v>2022</v>
      </c>
      <c r="C193" s="159">
        <f t="shared" si="437"/>
        <v>12</v>
      </c>
      <c r="D193" s="190">
        <f>AVERAGEIFS(data!G:G,data!A:A,'weekly-forecast'!B193,data!B:B,'weekly-forecast'!C193)</f>
        <v>540</v>
      </c>
      <c r="E193" s="190">
        <f>AVERAGEIFS(data!F:F,data!A:A,'weekly-forecast'!B193,data!B:B,'weekly-forecast'!C193)</f>
        <v>500</v>
      </c>
      <c r="F193" s="190">
        <v>392</v>
      </c>
      <c r="G193" s="190">
        <v>1022.5</v>
      </c>
      <c r="H193" s="190">
        <v>517.5</v>
      </c>
      <c r="I193" s="170">
        <v>6.7792000000000003</v>
      </c>
      <c r="J193" s="190">
        <v>81.503181818181815</v>
      </c>
      <c r="K193" s="202"/>
      <c r="L193" s="202"/>
      <c r="M193" s="202"/>
      <c r="N193" s="202"/>
      <c r="O193" s="202"/>
      <c r="P193" s="202"/>
      <c r="Q193" s="171">
        <f t="shared" si="439"/>
        <v>0</v>
      </c>
      <c r="R193" s="171">
        <f t="shared" si="440"/>
        <v>0</v>
      </c>
      <c r="S193" s="171">
        <f t="shared" si="441"/>
        <v>0</v>
      </c>
      <c r="T193" s="171">
        <f t="shared" si="442"/>
        <v>-2.7618603650446411E-2</v>
      </c>
      <c r="U193" s="171">
        <f t="shared" si="443"/>
        <v>-0.10375627920925701</v>
      </c>
      <c r="V193" s="171">
        <f t="shared" si="491"/>
        <v>-1.8181818181818181E-2</v>
      </c>
      <c r="W193" s="171">
        <f t="shared" si="444"/>
        <v>0</v>
      </c>
      <c r="X193" s="172">
        <f t="shared" si="422"/>
        <v>1.2919896640826873E-2</v>
      </c>
      <c r="Y193" s="172">
        <f t="shared" si="423"/>
        <v>-2.6190476190476191E-2</v>
      </c>
      <c r="Z193" s="172">
        <f t="shared" si="424"/>
        <v>9.7560975609756097E-3</v>
      </c>
      <c r="AA193" s="172">
        <f t="shared" si="425"/>
        <v>0.10367283146652774</v>
      </c>
      <c r="AB193" s="172">
        <f t="shared" si="426"/>
        <v>-0.10375627920925701</v>
      </c>
      <c r="AC193" s="172">
        <f t="shared" si="479"/>
        <v>-1.8181818181818181E-2</v>
      </c>
      <c r="AD193" s="172">
        <f t="shared" ref="AD193" si="508">(E193-E197)/E197</f>
        <v>0</v>
      </c>
      <c r="AE193" s="172" t="e">
        <f>(F193-#REF!)/#REF!</f>
        <v>#REF!</v>
      </c>
      <c r="AF193" s="172" t="e">
        <f>(G193-#REF!)/#REF!</f>
        <v>#REF!</v>
      </c>
      <c r="AG193" s="172" t="e">
        <f>(H193-#REF!)/#REF!</f>
        <v>#REF!</v>
      </c>
      <c r="AH193" s="172" t="e">
        <f>(I193-#REF!)/#REF!</f>
        <v>#REF!</v>
      </c>
      <c r="AI193" s="172" t="e">
        <f>(J193-#REF!)/#REF!</f>
        <v>#REF!</v>
      </c>
      <c r="AJ193" s="172" t="e">
        <f>(D193-#REF!)/#REF!</f>
        <v>#REF!</v>
      </c>
      <c r="AK193" s="172" t="e">
        <f>(E193-#REF!)/#REF!</f>
        <v>#REF!</v>
      </c>
    </row>
    <row r="194" spans="1:37" x14ac:dyDescent="0.3">
      <c r="A194" s="169">
        <v>44890</v>
      </c>
      <c r="B194" s="159">
        <f t="shared" si="436"/>
        <v>2022</v>
      </c>
      <c r="C194" s="159">
        <f t="shared" si="437"/>
        <v>11</v>
      </c>
      <c r="D194" s="190">
        <f>AVERAGEIFS(data!G:G,data!A:A,'weekly-forecast'!B194,data!B:B,'weekly-forecast'!C194)</f>
        <v>550</v>
      </c>
      <c r="E194" s="190">
        <f>AVERAGEIFS(data!F:F,data!A:A,'weekly-forecast'!B194,data!B:B,'weekly-forecast'!C194)</f>
        <v>500</v>
      </c>
      <c r="F194" s="190">
        <v>392</v>
      </c>
      <c r="G194" s="190">
        <v>1022.5</v>
      </c>
      <c r="H194" s="190">
        <v>517.5</v>
      </c>
      <c r="I194" s="170">
        <v>6.9717500000000001</v>
      </c>
      <c r="J194" s="190">
        <v>90.938636363636363</v>
      </c>
      <c r="K194" s="200">
        <f>AVERAGE(D194:D197)</f>
        <v>550</v>
      </c>
      <c r="L194" s="200">
        <f t="shared" ref="L194:P194" si="509">AVERAGE(E194:E197)</f>
        <v>500</v>
      </c>
      <c r="M194" s="200">
        <f t="shared" si="509"/>
        <v>390.75</v>
      </c>
      <c r="N194" s="200">
        <f t="shared" si="509"/>
        <v>1029.375</v>
      </c>
      <c r="O194" s="200">
        <f t="shared" si="509"/>
        <v>516.25</v>
      </c>
      <c r="P194" s="200">
        <f t="shared" si="509"/>
        <v>6.3737375000000007</v>
      </c>
      <c r="Q194" s="171">
        <f t="shared" si="439"/>
        <v>0</v>
      </c>
      <c r="R194" s="171">
        <f t="shared" si="440"/>
        <v>0</v>
      </c>
      <c r="S194" s="171">
        <f t="shared" si="441"/>
        <v>0</v>
      </c>
      <c r="T194" s="171">
        <f t="shared" si="442"/>
        <v>0.13034631473134675</v>
      </c>
      <c r="U194" s="171">
        <f t="shared" si="443"/>
        <v>0</v>
      </c>
      <c r="V194" s="171">
        <f t="shared" si="491"/>
        <v>0</v>
      </c>
      <c r="W194" s="171">
        <f t="shared" si="444"/>
        <v>0</v>
      </c>
      <c r="X194" s="172">
        <f t="shared" si="422"/>
        <v>1.2919896640826873E-2</v>
      </c>
      <c r="Y194" s="172">
        <f t="shared" si="423"/>
        <v>-2.6190476190476191E-2</v>
      </c>
      <c r="Z194" s="172">
        <f t="shared" si="424"/>
        <v>1.9704433497536946E-2</v>
      </c>
      <c r="AA194" s="172">
        <f t="shared" si="425"/>
        <v>0.27743880093814149</v>
      </c>
      <c r="AB194" s="172">
        <f t="shared" si="426"/>
        <v>-2.9662584721042509E-2</v>
      </c>
      <c r="AC194" s="172">
        <f t="shared" si="479"/>
        <v>3.7735849056603772E-2</v>
      </c>
      <c r="AD194" s="172">
        <f t="shared" ref="AD194" si="510">(E194-E198)/E198</f>
        <v>0</v>
      </c>
      <c r="AE194" s="172" t="e">
        <f>(F194-#REF!)/#REF!</f>
        <v>#REF!</v>
      </c>
      <c r="AF194" s="172" t="e">
        <f>(G194-#REF!)/#REF!</f>
        <v>#REF!</v>
      </c>
      <c r="AG194" s="172" t="e">
        <f>(H194-#REF!)/#REF!</f>
        <v>#REF!</v>
      </c>
      <c r="AH194" s="172" t="e">
        <f>(I194-#REF!)/#REF!</f>
        <v>#REF!</v>
      </c>
      <c r="AI194" s="172" t="e">
        <f>(J194-#REF!)/#REF!</f>
        <v>#REF!</v>
      </c>
      <c r="AJ194" s="172" t="e">
        <f>(D194-#REF!)/#REF!</f>
        <v>#REF!</v>
      </c>
      <c r="AK194" s="172" t="e">
        <f>(E194-#REF!)/#REF!</f>
        <v>#REF!</v>
      </c>
    </row>
    <row r="195" spans="1:37" x14ac:dyDescent="0.3">
      <c r="A195" s="169">
        <v>44883</v>
      </c>
      <c r="B195" s="159">
        <f t="shared" si="436"/>
        <v>2022</v>
      </c>
      <c r="C195" s="159">
        <f t="shared" si="437"/>
        <v>11</v>
      </c>
      <c r="D195" s="190">
        <f>AVERAGEIFS(data!G:G,data!A:A,'weekly-forecast'!B195,data!B:B,'weekly-forecast'!C195)</f>
        <v>550</v>
      </c>
      <c r="E195" s="190">
        <f>AVERAGEIFS(data!F:F,data!A:A,'weekly-forecast'!B195,data!B:B,'weekly-forecast'!C195)</f>
        <v>500</v>
      </c>
      <c r="F195" s="190">
        <v>392</v>
      </c>
      <c r="G195" s="190">
        <v>1022.5</v>
      </c>
      <c r="H195" s="190">
        <v>517.5</v>
      </c>
      <c r="I195" s="170">
        <v>6.1677999999999997</v>
      </c>
      <c r="J195" s="190">
        <v>90.938636363636363</v>
      </c>
      <c r="K195" s="201"/>
      <c r="L195" s="201"/>
      <c r="M195" s="201"/>
      <c r="N195" s="201"/>
      <c r="O195" s="201"/>
      <c r="P195" s="201"/>
      <c r="Q195" s="171">
        <f t="shared" si="439"/>
        <v>0</v>
      </c>
      <c r="R195" s="171">
        <f t="shared" si="440"/>
        <v>0</v>
      </c>
      <c r="S195" s="171">
        <f t="shared" si="441"/>
        <v>0</v>
      </c>
      <c r="T195" s="171">
        <f t="shared" si="442"/>
        <v>-7.2750684049572622E-3</v>
      </c>
      <c r="U195" s="171">
        <f t="shared" si="443"/>
        <v>0</v>
      </c>
      <c r="V195" s="171">
        <f t="shared" si="491"/>
        <v>0</v>
      </c>
      <c r="W195" s="171">
        <f t="shared" si="444"/>
        <v>0</v>
      </c>
      <c r="X195" s="172">
        <f t="shared" si="422"/>
        <v>1.2919896640826873E-2</v>
      </c>
      <c r="Y195" s="172">
        <f t="shared" si="423"/>
        <v>-2.6190476190476191E-2</v>
      </c>
      <c r="Z195" s="172">
        <f t="shared" si="424"/>
        <v>-3.7209302325581395E-2</v>
      </c>
      <c r="AA195" s="172">
        <f t="shared" si="425"/>
        <v>0.12048105221087814</v>
      </c>
      <c r="AB195" s="172">
        <f t="shared" si="426"/>
        <v>-2.9662584721042509E-2</v>
      </c>
      <c r="AC195" s="172">
        <f t="shared" si="479"/>
        <v>3.7735849056603772E-2</v>
      </c>
      <c r="AD195" s="172">
        <f t="shared" ref="AD195" si="511">(E195-E199)/E199</f>
        <v>0</v>
      </c>
      <c r="AE195" s="172" t="e">
        <f>(F195-#REF!)/#REF!</f>
        <v>#REF!</v>
      </c>
      <c r="AF195" s="172" t="e">
        <f>(G195-#REF!)/#REF!</f>
        <v>#REF!</v>
      </c>
      <c r="AG195" s="172" t="e">
        <f>(H195-#REF!)/#REF!</f>
        <v>#REF!</v>
      </c>
      <c r="AH195" s="172" t="e">
        <f>(I195-#REF!)/#REF!</f>
        <v>#REF!</v>
      </c>
      <c r="AI195" s="172" t="e">
        <f>(J195-#REF!)/#REF!</f>
        <v>#REF!</v>
      </c>
      <c r="AJ195" s="172" t="e">
        <f>(D195-#REF!)/#REF!</f>
        <v>#REF!</v>
      </c>
      <c r="AK195" s="172" t="e">
        <f>(E195-#REF!)/#REF!</f>
        <v>#REF!</v>
      </c>
    </row>
    <row r="196" spans="1:37" x14ac:dyDescent="0.3">
      <c r="A196" s="169">
        <v>44876</v>
      </c>
      <c r="B196" s="159">
        <f t="shared" si="436"/>
        <v>2022</v>
      </c>
      <c r="C196" s="159">
        <f t="shared" si="437"/>
        <v>11</v>
      </c>
      <c r="D196" s="190">
        <f>AVERAGEIFS(data!G:G,data!A:A,'weekly-forecast'!B196,data!B:B,'weekly-forecast'!C196)</f>
        <v>550</v>
      </c>
      <c r="E196" s="190">
        <f>AVERAGEIFS(data!F:F,data!A:A,'weekly-forecast'!B196,data!B:B,'weekly-forecast'!C196)</f>
        <v>500</v>
      </c>
      <c r="F196" s="190">
        <v>392</v>
      </c>
      <c r="G196" s="190">
        <v>1022.5</v>
      </c>
      <c r="H196" s="190">
        <v>517.5</v>
      </c>
      <c r="I196" s="170">
        <v>6.2129999999999992</v>
      </c>
      <c r="J196" s="190">
        <v>90.938636363636363</v>
      </c>
      <c r="K196" s="201"/>
      <c r="L196" s="201"/>
      <c r="M196" s="201"/>
      <c r="N196" s="201"/>
      <c r="O196" s="201"/>
      <c r="P196" s="201"/>
      <c r="Q196" s="171">
        <f t="shared" si="439"/>
        <v>1.2919896640826873E-2</v>
      </c>
      <c r="R196" s="171">
        <f t="shared" si="440"/>
        <v>-2.6190476190476191E-2</v>
      </c>
      <c r="S196" s="171">
        <f t="shared" si="441"/>
        <v>9.7560975609756097E-3</v>
      </c>
      <c r="T196" s="171">
        <f t="shared" si="442"/>
        <v>1.1493878614222271E-2</v>
      </c>
      <c r="U196" s="171">
        <f t="shared" si="443"/>
        <v>0</v>
      </c>
      <c r="V196" s="171">
        <f t="shared" si="491"/>
        <v>0</v>
      </c>
      <c r="W196" s="171">
        <f t="shared" si="444"/>
        <v>0</v>
      </c>
      <c r="X196" s="172">
        <f t="shared" si="422"/>
        <v>1.2919896640826873E-2</v>
      </c>
      <c r="Y196" s="172">
        <f t="shared" si="423"/>
        <v>-2.6190476190476191E-2</v>
      </c>
      <c r="Z196" s="172">
        <f t="shared" si="424"/>
        <v>-4.1666666666666664E-2</v>
      </c>
      <c r="AA196" s="172">
        <f t="shared" si="425"/>
        <v>-4.8836497244335579E-2</v>
      </c>
      <c r="AB196" s="172">
        <f t="shared" si="426"/>
        <v>-2.9662584721042509E-2</v>
      </c>
      <c r="AC196" s="172">
        <f t="shared" si="479"/>
        <v>3.7735849056603772E-2</v>
      </c>
      <c r="AD196" s="172">
        <f t="shared" ref="AD196" si="512">(E196-E200)/E200</f>
        <v>0</v>
      </c>
      <c r="AE196" s="172" t="e">
        <f>(F196-#REF!)/#REF!</f>
        <v>#REF!</v>
      </c>
      <c r="AF196" s="172" t="e">
        <f>(G196-#REF!)/#REF!</f>
        <v>#REF!</v>
      </c>
      <c r="AG196" s="172" t="e">
        <f>(H196-#REF!)/#REF!</f>
        <v>#REF!</v>
      </c>
      <c r="AH196" s="172" t="e">
        <f>(I196-#REF!)/#REF!</f>
        <v>#REF!</v>
      </c>
      <c r="AI196" s="172" t="e">
        <f>(J196-#REF!)/#REF!</f>
        <v>#REF!</v>
      </c>
      <c r="AJ196" s="172" t="e">
        <f>(D196-#REF!)/#REF!</f>
        <v>#REF!</v>
      </c>
      <c r="AK196" s="172" t="e">
        <f>(E196-#REF!)/#REF!</f>
        <v>#REF!</v>
      </c>
    </row>
    <row r="197" spans="1:37" x14ac:dyDescent="0.3">
      <c r="A197" s="169">
        <v>44869</v>
      </c>
      <c r="B197" s="159">
        <f t="shared" si="436"/>
        <v>2022</v>
      </c>
      <c r="C197" s="159">
        <f t="shared" si="437"/>
        <v>11</v>
      </c>
      <c r="D197" s="190">
        <f>AVERAGEIFS(data!G:G,data!A:A,'weekly-forecast'!B197,data!B:B,'weekly-forecast'!C197)</f>
        <v>550</v>
      </c>
      <c r="E197" s="190">
        <f>AVERAGEIFS(data!F:F,data!A:A,'weekly-forecast'!B197,data!B:B,'weekly-forecast'!C197)</f>
        <v>500</v>
      </c>
      <c r="F197" s="190">
        <v>387</v>
      </c>
      <c r="G197" s="190">
        <v>1050</v>
      </c>
      <c r="H197" s="190">
        <v>512.5</v>
      </c>
      <c r="I197" s="170">
        <v>6.1424000000000003</v>
      </c>
      <c r="J197" s="190">
        <v>90.938636363636363</v>
      </c>
      <c r="K197" s="202"/>
      <c r="L197" s="202"/>
      <c r="M197" s="202"/>
      <c r="N197" s="202"/>
      <c r="O197" s="202"/>
      <c r="P197" s="202"/>
      <c r="Q197" s="171">
        <f t="shared" si="439"/>
        <v>0</v>
      </c>
      <c r="R197" s="171">
        <f t="shared" si="440"/>
        <v>0</v>
      </c>
      <c r="S197" s="171">
        <f t="shared" si="441"/>
        <v>9.852216748768473E-3</v>
      </c>
      <c r="T197" s="171">
        <f t="shared" si="442"/>
        <v>0.12547639988273251</v>
      </c>
      <c r="U197" s="171">
        <f t="shared" si="443"/>
        <v>-2.9662584721042509E-2</v>
      </c>
      <c r="V197" s="171">
        <f t="shared" si="491"/>
        <v>3.7735849056603772E-2</v>
      </c>
      <c r="W197" s="171">
        <f t="shared" si="444"/>
        <v>0</v>
      </c>
      <c r="X197" s="172">
        <f t="shared" si="422"/>
        <v>7.6495132127955487E-2</v>
      </c>
      <c r="Y197" s="172">
        <f t="shared" si="423"/>
        <v>0</v>
      </c>
      <c r="Z197" s="172">
        <f t="shared" si="424"/>
        <v>-5.5299539170506916E-2</v>
      </c>
      <c r="AA197" s="172">
        <f t="shared" si="425"/>
        <v>-9.5562034337544538E-2</v>
      </c>
      <c r="AB197" s="172">
        <f t="shared" si="426"/>
        <v>-2.9662584721042509E-2</v>
      </c>
      <c r="AC197" s="172">
        <f t="shared" si="479"/>
        <v>3.7735849056603772E-2</v>
      </c>
      <c r="AD197" s="172">
        <f t="shared" ref="AD197" si="513">(E197-E201)/E201</f>
        <v>0</v>
      </c>
      <c r="AE197" s="172" t="e">
        <f>(F197-#REF!)/#REF!</f>
        <v>#REF!</v>
      </c>
      <c r="AF197" s="172" t="e">
        <f>(G197-#REF!)/#REF!</f>
        <v>#REF!</v>
      </c>
      <c r="AG197" s="172" t="e">
        <f>(H197-#REF!)/#REF!</f>
        <v>#REF!</v>
      </c>
      <c r="AH197" s="172" t="e">
        <f>(I197-#REF!)/#REF!</f>
        <v>#REF!</v>
      </c>
      <c r="AI197" s="172" t="e">
        <f>(J197-#REF!)/#REF!</f>
        <v>#REF!</v>
      </c>
      <c r="AJ197" s="172" t="e">
        <f>(D197-#REF!)/#REF!</f>
        <v>#REF!</v>
      </c>
      <c r="AK197" s="172" t="e">
        <f>(E197-#REF!)/#REF!</f>
        <v>#REF!</v>
      </c>
    </row>
    <row r="198" spans="1:37" x14ac:dyDescent="0.3">
      <c r="A198" s="169">
        <v>44862</v>
      </c>
      <c r="B198" s="159">
        <f t="shared" si="436"/>
        <v>2022</v>
      </c>
      <c r="C198" s="159">
        <f t="shared" si="437"/>
        <v>10</v>
      </c>
      <c r="D198" s="190">
        <f>AVERAGEIFS(data!G:G,data!A:A,'weekly-forecast'!B198,data!B:B,'weekly-forecast'!C198)</f>
        <v>530</v>
      </c>
      <c r="E198" s="190">
        <f>AVERAGEIFS(data!F:F,data!A:A,'weekly-forecast'!B198,data!B:B,'weekly-forecast'!C198)</f>
        <v>500</v>
      </c>
      <c r="F198" s="190">
        <v>387</v>
      </c>
      <c r="G198" s="190">
        <v>1050</v>
      </c>
      <c r="H198" s="190">
        <v>507.5</v>
      </c>
      <c r="I198" s="170">
        <v>5.4575999999999993</v>
      </c>
      <c r="J198" s="190">
        <v>93.718571428571437</v>
      </c>
      <c r="K198" s="200">
        <f>AVERAGE(D198:D201)</f>
        <v>530</v>
      </c>
      <c r="L198" s="200">
        <f t="shared" ref="L198:P198" si="514">AVERAGE(E198:E201)</f>
        <v>500</v>
      </c>
      <c r="M198" s="200">
        <f t="shared" si="514"/>
        <v>380.125</v>
      </c>
      <c r="N198" s="200">
        <f t="shared" si="514"/>
        <v>1050</v>
      </c>
      <c r="O198" s="200">
        <f t="shared" si="514"/>
        <v>531.875</v>
      </c>
      <c r="P198" s="200">
        <f t="shared" si="514"/>
        <v>6.0713999999999997</v>
      </c>
      <c r="Q198" s="171">
        <f t="shared" si="439"/>
        <v>0</v>
      </c>
      <c r="R198" s="171">
        <f t="shared" si="440"/>
        <v>0</v>
      </c>
      <c r="S198" s="171">
        <f t="shared" si="441"/>
        <v>-5.5813953488372092E-2</v>
      </c>
      <c r="T198" s="171">
        <f t="shared" si="442"/>
        <v>-8.53831341060215E-3</v>
      </c>
      <c r="U198" s="171">
        <f t="shared" si="443"/>
        <v>0</v>
      </c>
      <c r="V198" s="171">
        <f t="shared" si="491"/>
        <v>0</v>
      </c>
      <c r="W198" s="171">
        <f t="shared" si="444"/>
        <v>0</v>
      </c>
      <c r="X198" s="172">
        <f t="shared" si="422"/>
        <v>7.6495132127955487E-2</v>
      </c>
      <c r="Y198" s="172">
        <f t="shared" si="423"/>
        <v>0</v>
      </c>
      <c r="Z198" s="172">
        <f t="shared" si="424"/>
        <v>-0.10176991150442478</v>
      </c>
      <c r="AA198" s="172">
        <f t="shared" si="425"/>
        <v>-0.19887264400211402</v>
      </c>
      <c r="AB198" s="172">
        <f t="shared" si="426"/>
        <v>3.4327911100026885E-2</v>
      </c>
      <c r="AC198" s="172">
        <f t="shared" si="479"/>
        <v>0</v>
      </c>
      <c r="AD198" s="172">
        <f t="shared" ref="AD198" si="515">(E198-E202)/E202</f>
        <v>0</v>
      </c>
      <c r="AE198" s="172" t="e">
        <f>(F198-#REF!)/#REF!</f>
        <v>#REF!</v>
      </c>
      <c r="AF198" s="172" t="e">
        <f>(G198-#REF!)/#REF!</f>
        <v>#REF!</v>
      </c>
      <c r="AG198" s="172" t="e">
        <f>(H198-#REF!)/#REF!</f>
        <v>#REF!</v>
      </c>
      <c r="AH198" s="172" t="e">
        <f>(I198-#REF!)/#REF!</f>
        <v>#REF!</v>
      </c>
      <c r="AI198" s="172" t="e">
        <f>(J198-#REF!)/#REF!</f>
        <v>#REF!</v>
      </c>
      <c r="AJ198" s="172" t="e">
        <f>(D198-#REF!)/#REF!</f>
        <v>#REF!</v>
      </c>
      <c r="AK198" s="172" t="e">
        <f>(E198-#REF!)/#REF!</f>
        <v>#REF!</v>
      </c>
    </row>
    <row r="199" spans="1:37" x14ac:dyDescent="0.3">
      <c r="A199" s="169">
        <v>44855</v>
      </c>
      <c r="B199" s="159">
        <f t="shared" si="436"/>
        <v>2022</v>
      </c>
      <c r="C199" s="159">
        <f t="shared" si="437"/>
        <v>10</v>
      </c>
      <c r="D199" s="190">
        <f>AVERAGEIFS(data!G:G,data!A:A,'weekly-forecast'!B199,data!B:B,'weekly-forecast'!C199)</f>
        <v>530</v>
      </c>
      <c r="E199" s="190">
        <f>AVERAGEIFS(data!F:F,data!A:A,'weekly-forecast'!B199,data!B:B,'weekly-forecast'!C199)</f>
        <v>500</v>
      </c>
      <c r="F199" s="190">
        <v>387</v>
      </c>
      <c r="G199" s="190">
        <v>1050</v>
      </c>
      <c r="H199" s="190">
        <v>537.5</v>
      </c>
      <c r="I199" s="170">
        <v>5.5045999999999999</v>
      </c>
      <c r="J199" s="190">
        <v>93.718571428571437</v>
      </c>
      <c r="K199" s="201"/>
      <c r="L199" s="201"/>
      <c r="M199" s="201"/>
      <c r="N199" s="201"/>
      <c r="O199" s="201"/>
      <c r="P199" s="201"/>
      <c r="Q199" s="171">
        <f t="shared" si="439"/>
        <v>0</v>
      </c>
      <c r="R199" s="171">
        <f t="shared" si="440"/>
        <v>0</v>
      </c>
      <c r="S199" s="171">
        <f t="shared" si="441"/>
        <v>-4.6296296296296294E-3</v>
      </c>
      <c r="T199" s="171">
        <f t="shared" si="442"/>
        <v>-0.15728720146968758</v>
      </c>
      <c r="U199" s="171">
        <f t="shared" si="443"/>
        <v>0</v>
      </c>
      <c r="V199" s="171">
        <f t="shared" si="491"/>
        <v>0</v>
      </c>
      <c r="W199" s="171">
        <f t="shared" si="444"/>
        <v>0</v>
      </c>
      <c r="X199" s="172">
        <f t="shared" si="422"/>
        <v>0.28999999999999998</v>
      </c>
      <c r="Y199" s="172">
        <f t="shared" si="423"/>
        <v>-4.5454545454545456E-2</v>
      </c>
      <c r="Z199" s="172">
        <f t="shared" si="424"/>
        <v>-0.12601626016260162</v>
      </c>
      <c r="AA199" s="172">
        <f t="shared" si="425"/>
        <v>-0.25943764294362975</v>
      </c>
      <c r="AB199" s="172">
        <f t="shared" si="426"/>
        <v>3.4327911100026885E-2</v>
      </c>
      <c r="AC199" s="172">
        <f t="shared" si="479"/>
        <v>0</v>
      </c>
      <c r="AD199" s="172">
        <f t="shared" ref="AD199" si="516">(E199-E203)/E203</f>
        <v>0</v>
      </c>
      <c r="AE199" s="172" t="e">
        <f>(F199-#REF!)/#REF!</f>
        <v>#REF!</v>
      </c>
      <c r="AF199" s="172" t="e">
        <f>(G199-#REF!)/#REF!</f>
        <v>#REF!</v>
      </c>
      <c r="AG199" s="172" t="e">
        <f>(H199-#REF!)/#REF!</f>
        <v>#REF!</v>
      </c>
      <c r="AH199" s="172" t="e">
        <f>(I199-#REF!)/#REF!</f>
        <v>#REF!</v>
      </c>
      <c r="AI199" s="172" t="e">
        <f>(J199-#REF!)/#REF!</f>
        <v>#REF!</v>
      </c>
      <c r="AJ199" s="172" t="e">
        <f>(D199-#REF!)/#REF!</f>
        <v>#REF!</v>
      </c>
      <c r="AK199" s="172" t="e">
        <f>(E199-#REF!)/#REF!</f>
        <v>#REF!</v>
      </c>
    </row>
    <row r="200" spans="1:37" x14ac:dyDescent="0.3">
      <c r="A200" s="169">
        <v>44848</v>
      </c>
      <c r="B200" s="159">
        <f t="shared" si="436"/>
        <v>2022</v>
      </c>
      <c r="C200" s="159">
        <f t="shared" si="437"/>
        <v>10</v>
      </c>
      <c r="D200" s="190">
        <f>AVERAGEIFS(data!G:G,data!A:A,'weekly-forecast'!B200,data!B:B,'weekly-forecast'!C200)</f>
        <v>530</v>
      </c>
      <c r="E200" s="190">
        <f>AVERAGEIFS(data!F:F,data!A:A,'weekly-forecast'!B200,data!B:B,'weekly-forecast'!C200)</f>
        <v>500</v>
      </c>
      <c r="F200" s="190">
        <v>387</v>
      </c>
      <c r="G200" s="190">
        <v>1050</v>
      </c>
      <c r="H200" s="190">
        <v>540</v>
      </c>
      <c r="I200" s="170">
        <v>6.5319999999999991</v>
      </c>
      <c r="J200" s="190">
        <v>93.718571428571437</v>
      </c>
      <c r="K200" s="201"/>
      <c r="L200" s="201"/>
      <c r="M200" s="201"/>
      <c r="N200" s="201"/>
      <c r="O200" s="201"/>
      <c r="P200" s="201"/>
      <c r="Q200" s="171">
        <f t="shared" si="439"/>
        <v>7.6495132127955487E-2</v>
      </c>
      <c r="R200" s="171">
        <f t="shared" si="440"/>
        <v>0</v>
      </c>
      <c r="S200" s="171">
        <f t="shared" si="441"/>
        <v>-4.608294930875576E-3</v>
      </c>
      <c r="T200" s="171">
        <f t="shared" si="442"/>
        <v>-3.8195364725977142E-2</v>
      </c>
      <c r="U200" s="171">
        <f t="shared" si="443"/>
        <v>0</v>
      </c>
      <c r="V200" s="171">
        <f t="shared" si="491"/>
        <v>0</v>
      </c>
      <c r="W200" s="171">
        <f t="shared" si="444"/>
        <v>0</v>
      </c>
      <c r="X200" s="172">
        <f t="shared" si="422"/>
        <v>0.28999999999999998</v>
      </c>
      <c r="Y200" s="172">
        <f t="shared" si="423"/>
        <v>-3.4482758620689655E-2</v>
      </c>
      <c r="Z200" s="172">
        <f t="shared" si="424"/>
        <v>-6.0869565217391307E-2</v>
      </c>
      <c r="AA200" s="172">
        <f t="shared" si="425"/>
        <v>-0.21744339283574959</v>
      </c>
      <c r="AB200" s="172">
        <f t="shared" si="426"/>
        <v>3.4327911100026885E-2</v>
      </c>
      <c r="AC200" s="172">
        <f t="shared" si="479"/>
        <v>0</v>
      </c>
      <c r="AD200" s="172">
        <f t="shared" ref="AD200" si="517">(E200-E204)/E204</f>
        <v>0</v>
      </c>
      <c r="AE200" s="172" t="e">
        <f>(F200-#REF!)/#REF!</f>
        <v>#REF!</v>
      </c>
      <c r="AF200" s="172" t="e">
        <f>(G200-#REF!)/#REF!</f>
        <v>#REF!</v>
      </c>
      <c r="AG200" s="172" t="e">
        <f>(H200-#REF!)/#REF!</f>
        <v>#REF!</v>
      </c>
      <c r="AH200" s="172" t="e">
        <f>(I200-#REF!)/#REF!</f>
        <v>#REF!</v>
      </c>
      <c r="AI200" s="172" t="e">
        <f>(J200-#REF!)/#REF!</f>
        <v>#REF!</v>
      </c>
      <c r="AJ200" s="172" t="e">
        <f>(D200-#REF!)/#REF!</f>
        <v>#REF!</v>
      </c>
      <c r="AK200" s="172" t="e">
        <f>(E200-#REF!)/#REF!</f>
        <v>#REF!</v>
      </c>
    </row>
    <row r="201" spans="1:37" x14ac:dyDescent="0.3">
      <c r="A201" s="169">
        <v>44841</v>
      </c>
      <c r="B201" s="159">
        <f t="shared" si="436"/>
        <v>2022</v>
      </c>
      <c r="C201" s="159">
        <f t="shared" si="437"/>
        <v>10</v>
      </c>
      <c r="D201" s="190">
        <f>AVERAGEIFS(data!G:G,data!A:A,'weekly-forecast'!B201,data!B:B,'weekly-forecast'!C201)</f>
        <v>530</v>
      </c>
      <c r="E201" s="190">
        <f>AVERAGEIFS(data!F:F,data!A:A,'weekly-forecast'!B201,data!B:B,'weekly-forecast'!C201)</f>
        <v>500</v>
      </c>
      <c r="F201" s="190">
        <v>359.5</v>
      </c>
      <c r="G201" s="190">
        <v>1050</v>
      </c>
      <c r="H201" s="190">
        <v>542.5</v>
      </c>
      <c r="I201" s="170">
        <v>6.7914000000000003</v>
      </c>
      <c r="J201" s="190">
        <v>93.718571428571437</v>
      </c>
      <c r="K201" s="202"/>
      <c r="L201" s="202"/>
      <c r="M201" s="202"/>
      <c r="N201" s="202"/>
      <c r="O201" s="202"/>
      <c r="P201" s="202"/>
      <c r="Q201" s="171">
        <f t="shared" si="439"/>
        <v>0</v>
      </c>
      <c r="R201" s="171">
        <f t="shared" si="440"/>
        <v>0</v>
      </c>
      <c r="S201" s="171">
        <f t="shared" si="441"/>
        <v>-3.9823008849557522E-2</v>
      </c>
      <c r="T201" s="171">
        <f t="shared" si="442"/>
        <v>-3.0826140567202149E-3</v>
      </c>
      <c r="U201" s="171">
        <f t="shared" si="443"/>
        <v>3.4327911100026885E-2</v>
      </c>
      <c r="V201" s="171">
        <f t="shared" si="491"/>
        <v>0</v>
      </c>
      <c r="W201" s="171">
        <f t="shared" si="444"/>
        <v>0</v>
      </c>
      <c r="X201" s="172">
        <f t="shared" si="422"/>
        <v>9.6036585365853661E-2</v>
      </c>
      <c r="Y201" s="172">
        <f t="shared" si="423"/>
        <v>-3.4482758620689655E-2</v>
      </c>
      <c r="Z201" s="172">
        <f t="shared" si="424"/>
        <v>-5.6521739130434782E-2</v>
      </c>
      <c r="AA201" s="172">
        <f t="shared" si="425"/>
        <v>-0.14836039877108279</v>
      </c>
      <c r="AB201" s="172">
        <f t="shared" si="426"/>
        <v>3.4327911100026885E-2</v>
      </c>
      <c r="AC201" s="172">
        <f t="shared" si="479"/>
        <v>0</v>
      </c>
      <c r="AD201" s="172">
        <f t="shared" ref="AD201" si="518">(E201-E205)/E205</f>
        <v>0</v>
      </c>
      <c r="AE201" s="172" t="e">
        <f>(F201-#REF!)/#REF!</f>
        <v>#REF!</v>
      </c>
      <c r="AF201" s="172" t="e">
        <f>(G201-#REF!)/#REF!</f>
        <v>#REF!</v>
      </c>
      <c r="AG201" s="172" t="e">
        <f>(H201-#REF!)/#REF!</f>
        <v>#REF!</v>
      </c>
      <c r="AH201" s="172" t="e">
        <f>(I201-#REF!)/#REF!</f>
        <v>#REF!</v>
      </c>
      <c r="AI201" s="172" t="e">
        <f>(J201-#REF!)/#REF!</f>
        <v>#REF!</v>
      </c>
      <c r="AJ201" s="172" t="e">
        <f>(D201-#REF!)/#REF!</f>
        <v>#REF!</v>
      </c>
      <c r="AK201" s="172" t="e">
        <f>(E201-#REF!)/#REF!</f>
        <v>#REF!</v>
      </c>
    </row>
    <row r="202" spans="1:37" x14ac:dyDescent="0.3">
      <c r="A202" s="169">
        <v>44834</v>
      </c>
      <c r="B202" s="159">
        <f t="shared" si="436"/>
        <v>2022</v>
      </c>
      <c r="C202" s="159">
        <f t="shared" si="437"/>
        <v>9</v>
      </c>
      <c r="D202" s="190">
        <f>AVERAGEIFS(data!G:G,data!A:A,'weekly-forecast'!B202,data!B:B,'weekly-forecast'!C202)</f>
        <v>530</v>
      </c>
      <c r="E202" s="190">
        <f>AVERAGEIFS(data!F:F,data!A:A,'weekly-forecast'!B202,data!B:B,'weekly-forecast'!C202)</f>
        <v>500</v>
      </c>
      <c r="F202" s="190">
        <v>359.5</v>
      </c>
      <c r="G202" s="190">
        <v>1050</v>
      </c>
      <c r="H202" s="190">
        <v>565</v>
      </c>
      <c r="I202" s="170">
        <v>6.8124000000000011</v>
      </c>
      <c r="J202" s="190">
        <v>90.608181818181819</v>
      </c>
      <c r="K202" s="200">
        <f>AVERAGE(D202:D206)</f>
        <v>530</v>
      </c>
      <c r="L202" s="200">
        <f t="shared" ref="L202:P202" si="519">AVERAGE(E202:E206)</f>
        <v>500</v>
      </c>
      <c r="M202" s="200">
        <f t="shared" si="519"/>
        <v>323.10000000000002</v>
      </c>
      <c r="N202" s="200">
        <f t="shared" si="519"/>
        <v>1082.5</v>
      </c>
      <c r="O202" s="200">
        <f t="shared" si="519"/>
        <v>576.6</v>
      </c>
      <c r="P202" s="200">
        <f t="shared" si="519"/>
        <v>7.9361800000000002</v>
      </c>
      <c r="Q202" s="171">
        <f t="shared" si="439"/>
        <v>0.19833333333333333</v>
      </c>
      <c r="R202" s="171">
        <f t="shared" si="440"/>
        <v>-4.5454545454545456E-2</v>
      </c>
      <c r="S202" s="171">
        <f t="shared" si="441"/>
        <v>-8.1300813008130079E-2</v>
      </c>
      <c r="T202" s="171">
        <f t="shared" si="442"/>
        <v>-8.3492533297457108E-2</v>
      </c>
      <c r="U202" s="171">
        <f t="shared" si="443"/>
        <v>0</v>
      </c>
      <c r="V202" s="171">
        <f t="shared" si="491"/>
        <v>0</v>
      </c>
      <c r="W202" s="171">
        <f t="shared" si="444"/>
        <v>0</v>
      </c>
      <c r="X202" s="172">
        <f t="shared" si="422"/>
        <v>9.6036585365853661E-2</v>
      </c>
      <c r="Y202" s="172">
        <f t="shared" si="423"/>
        <v>-3.4482758620689655E-2</v>
      </c>
      <c r="Z202" s="172">
        <f t="shared" si="424"/>
        <v>2.1699819168173599E-2</v>
      </c>
      <c r="AA202" s="172">
        <f t="shared" si="425"/>
        <v>-0.25253456221198151</v>
      </c>
      <c r="AB202" s="172">
        <f t="shared" si="426"/>
        <v>0</v>
      </c>
      <c r="AC202" s="172">
        <f t="shared" si="479"/>
        <v>0</v>
      </c>
      <c r="AD202" s="172">
        <f t="shared" ref="AD202" si="520">(E202-E206)/E206</f>
        <v>0</v>
      </c>
      <c r="AE202" s="172" t="e">
        <f>(F202-#REF!)/#REF!</f>
        <v>#REF!</v>
      </c>
      <c r="AF202" s="172" t="e">
        <f>(G202-#REF!)/#REF!</f>
        <v>#REF!</v>
      </c>
      <c r="AG202" s="172" t="e">
        <f>(H202-#REF!)/#REF!</f>
        <v>#REF!</v>
      </c>
      <c r="AH202" s="172" t="e">
        <f>(I202-#REF!)/#REF!</f>
        <v>#REF!</v>
      </c>
      <c r="AI202" s="172" t="e">
        <f>(J202-#REF!)/#REF!</f>
        <v>#REF!</v>
      </c>
      <c r="AJ202" s="172" t="e">
        <f>(D202-#REF!)/#REF!</f>
        <v>#REF!</v>
      </c>
      <c r="AK202" s="172" t="e">
        <f>(E202-#REF!)/#REF!</f>
        <v>#REF!</v>
      </c>
    </row>
    <row r="203" spans="1:37" x14ac:dyDescent="0.3">
      <c r="A203" s="169">
        <v>44827</v>
      </c>
      <c r="B203" s="159">
        <f t="shared" si="436"/>
        <v>2022</v>
      </c>
      <c r="C203" s="159">
        <f t="shared" si="437"/>
        <v>9</v>
      </c>
      <c r="D203" s="190">
        <f>AVERAGEIFS(data!G:G,data!A:A,'weekly-forecast'!B203,data!B:B,'weekly-forecast'!C203)</f>
        <v>530</v>
      </c>
      <c r="E203" s="190">
        <f>AVERAGEIFS(data!F:F,data!A:A,'weekly-forecast'!B203,data!B:B,'weekly-forecast'!C203)</f>
        <v>500</v>
      </c>
      <c r="F203" s="190">
        <v>300</v>
      </c>
      <c r="G203" s="190">
        <v>1100</v>
      </c>
      <c r="H203" s="190">
        <v>615</v>
      </c>
      <c r="I203" s="170">
        <v>7.4329999999999998</v>
      </c>
      <c r="J203" s="190">
        <v>90.608181818181819</v>
      </c>
      <c r="K203" s="201"/>
      <c r="L203" s="201"/>
      <c r="M203" s="201"/>
      <c r="N203" s="201"/>
      <c r="O203" s="201"/>
      <c r="P203" s="201"/>
      <c r="Q203" s="171">
        <f t="shared" si="439"/>
        <v>0</v>
      </c>
      <c r="R203" s="171">
        <f t="shared" si="440"/>
        <v>1.1494252873563218E-2</v>
      </c>
      <c r="S203" s="171">
        <f t="shared" si="441"/>
        <v>6.9565217391304349E-2</v>
      </c>
      <c r="T203" s="171">
        <f t="shared" si="442"/>
        <v>-0.10950041931232794</v>
      </c>
      <c r="U203" s="171">
        <f t="shared" si="443"/>
        <v>0</v>
      </c>
      <c r="V203" s="171">
        <f t="shared" si="491"/>
        <v>0</v>
      </c>
      <c r="W203" s="171">
        <f t="shared" si="444"/>
        <v>0</v>
      </c>
      <c r="X203" s="172">
        <f t="shared" si="422"/>
        <v>-8.5365853658536592E-2</v>
      </c>
      <c r="Y203" s="172">
        <f t="shared" si="423"/>
        <v>0.1891891891891892</v>
      </c>
      <c r="Z203" s="172">
        <f t="shared" si="424"/>
        <v>0.20588235294117646</v>
      </c>
      <c r="AA203" s="172">
        <f t="shared" si="425"/>
        <v>-0.20712975210137807</v>
      </c>
      <c r="AB203" s="172">
        <f t="shared" si="426"/>
        <v>-7.2046726622622043E-2</v>
      </c>
      <c r="AC203" s="172">
        <f t="shared" ref="AC203:AC206" si="521">(D203-D207)/D207</f>
        <v>-3.6363636363636362E-2</v>
      </c>
      <c r="AD203" s="172">
        <f t="shared" ref="AD203" si="522">(E203-E207)/E207</f>
        <v>0</v>
      </c>
      <c r="AE203" s="172" t="e">
        <f>(F203-#REF!)/#REF!</f>
        <v>#REF!</v>
      </c>
      <c r="AF203" s="172" t="e">
        <f>(G203-#REF!)/#REF!</f>
        <v>#REF!</v>
      </c>
      <c r="AG203" s="172" t="e">
        <f>(H203-#REF!)/#REF!</f>
        <v>#REF!</v>
      </c>
      <c r="AH203" s="172" t="e">
        <f>(I203-#REF!)/#REF!</f>
        <v>#REF!</v>
      </c>
      <c r="AI203" s="172" t="e">
        <f>(J203-#REF!)/#REF!</f>
        <v>#REF!</v>
      </c>
      <c r="AJ203" s="172" t="e">
        <f>(D203-#REF!)/#REF!</f>
        <v>#REF!</v>
      </c>
      <c r="AK203" s="172" t="e">
        <f>(E203-#REF!)/#REF!</f>
        <v>#REF!</v>
      </c>
    </row>
    <row r="204" spans="1:37" x14ac:dyDescent="0.3">
      <c r="A204" s="169">
        <v>44820</v>
      </c>
      <c r="B204" s="159">
        <f t="shared" si="436"/>
        <v>2022</v>
      </c>
      <c r="C204" s="159">
        <f t="shared" si="437"/>
        <v>9</v>
      </c>
      <c r="D204" s="190">
        <f>AVERAGEIFS(data!G:G,data!A:A,'weekly-forecast'!B204,data!B:B,'weekly-forecast'!C204)</f>
        <v>530</v>
      </c>
      <c r="E204" s="190">
        <f>AVERAGEIFS(data!F:F,data!A:A,'weekly-forecast'!B204,data!B:B,'weekly-forecast'!C204)</f>
        <v>500</v>
      </c>
      <c r="F204" s="190">
        <v>300</v>
      </c>
      <c r="G204" s="190">
        <v>1087.5</v>
      </c>
      <c r="H204" s="190">
        <v>575</v>
      </c>
      <c r="I204" s="170">
        <v>8.3470000000000013</v>
      </c>
      <c r="J204" s="190">
        <v>90.608181818181819</v>
      </c>
      <c r="K204" s="201"/>
      <c r="L204" s="201"/>
      <c r="M204" s="201"/>
      <c r="N204" s="201"/>
      <c r="O204" s="201"/>
      <c r="P204" s="201"/>
      <c r="Q204" s="171">
        <f t="shared" si="439"/>
        <v>-8.5365853658536592E-2</v>
      </c>
      <c r="R204" s="171">
        <f t="shared" si="440"/>
        <v>0</v>
      </c>
      <c r="S204" s="171">
        <f t="shared" si="441"/>
        <v>0</v>
      </c>
      <c r="T204" s="171">
        <f t="shared" si="442"/>
        <v>4.6711392563797277E-2</v>
      </c>
      <c r="U204" s="171">
        <f t="shared" si="443"/>
        <v>0</v>
      </c>
      <c r="V204" s="171">
        <f t="shared" si="491"/>
        <v>0</v>
      </c>
      <c r="W204" s="171">
        <f t="shared" si="444"/>
        <v>0</v>
      </c>
      <c r="X204" s="172">
        <f t="shared" si="422"/>
        <v>-7.2642967542503864E-2</v>
      </c>
      <c r="Y204" s="172">
        <f t="shared" si="423"/>
        <v>0.17567567567567569</v>
      </c>
      <c r="Z204" s="172">
        <f t="shared" si="424"/>
        <v>0.12745098039215685</v>
      </c>
      <c r="AA204" s="172">
        <f t="shared" si="425"/>
        <v>-8.9252591380250906E-2</v>
      </c>
      <c r="AB204" s="172">
        <f t="shared" si="426"/>
        <v>-7.2046726622622043E-2</v>
      </c>
      <c r="AC204" s="172">
        <f t="shared" si="521"/>
        <v>-3.6363636363636362E-2</v>
      </c>
      <c r="AD204" s="172">
        <f t="shared" ref="AD204" si="523">(E204-E208)/E208</f>
        <v>0</v>
      </c>
      <c r="AE204" s="172" t="e">
        <f>(F204-#REF!)/#REF!</f>
        <v>#REF!</v>
      </c>
      <c r="AF204" s="172" t="e">
        <f>(G204-#REF!)/#REF!</f>
        <v>#REF!</v>
      </c>
      <c r="AG204" s="172" t="e">
        <f>(H204-#REF!)/#REF!</f>
        <v>#REF!</v>
      </c>
      <c r="AH204" s="172" t="e">
        <f>(I204-#REF!)/#REF!</f>
        <v>#REF!</v>
      </c>
      <c r="AI204" s="172" t="e">
        <f>(J204-#REF!)/#REF!</f>
        <v>#REF!</v>
      </c>
      <c r="AJ204" s="172" t="e">
        <f>(D204-#REF!)/#REF!</f>
        <v>#REF!</v>
      </c>
      <c r="AK204" s="172" t="e">
        <f>(E204-#REF!)/#REF!</f>
        <v>#REF!</v>
      </c>
    </row>
    <row r="205" spans="1:37" x14ac:dyDescent="0.3">
      <c r="A205" s="169">
        <v>44813</v>
      </c>
      <c r="B205" s="159">
        <f t="shared" si="436"/>
        <v>2022</v>
      </c>
      <c r="C205" s="159">
        <f t="shared" si="437"/>
        <v>9</v>
      </c>
      <c r="D205" s="190">
        <f>AVERAGEIFS(data!G:G,data!A:A,'weekly-forecast'!B205,data!B:B,'weekly-forecast'!C205)</f>
        <v>530</v>
      </c>
      <c r="E205" s="190">
        <f>AVERAGEIFS(data!F:F,data!A:A,'weekly-forecast'!B205,data!B:B,'weekly-forecast'!C205)</f>
        <v>500</v>
      </c>
      <c r="F205" s="190">
        <v>328</v>
      </c>
      <c r="G205" s="190">
        <v>1087.5</v>
      </c>
      <c r="H205" s="190">
        <v>575</v>
      </c>
      <c r="I205" s="170">
        <v>7.9744999999999999</v>
      </c>
      <c r="J205" s="190">
        <v>90.608181818181819</v>
      </c>
      <c r="K205" s="201"/>
      <c r="L205" s="201"/>
      <c r="M205" s="201"/>
      <c r="N205" s="201"/>
      <c r="O205" s="201"/>
      <c r="P205" s="201"/>
      <c r="Q205" s="171">
        <f t="shared" si="439"/>
        <v>0</v>
      </c>
      <c r="R205" s="171">
        <f t="shared" si="440"/>
        <v>0</v>
      </c>
      <c r="S205" s="171">
        <f t="shared" si="441"/>
        <v>3.9783001808318265E-2</v>
      </c>
      <c r="T205" s="171">
        <f t="shared" si="442"/>
        <v>-0.12502743032696959</v>
      </c>
      <c r="U205" s="171">
        <f t="shared" si="443"/>
        <v>0</v>
      </c>
      <c r="V205" s="171">
        <f t="shared" si="491"/>
        <v>0</v>
      </c>
      <c r="W205" s="171">
        <f t="shared" si="444"/>
        <v>0</v>
      </c>
      <c r="X205" s="172">
        <f t="shared" si="422"/>
        <v>3.0581039755351682E-3</v>
      </c>
      <c r="Y205" s="172">
        <f t="shared" si="423"/>
        <v>0.17567567567567569</v>
      </c>
      <c r="Z205" s="172">
        <f t="shared" si="424"/>
        <v>-1.2875536480686695E-2</v>
      </c>
      <c r="AA205" s="172">
        <f t="shared" si="425"/>
        <v>-3.3768720011631823E-2</v>
      </c>
      <c r="AB205" s="172">
        <f t="shared" si="426"/>
        <v>-7.2046726622622043E-2</v>
      </c>
      <c r="AC205" s="172">
        <f t="shared" si="521"/>
        <v>-3.6363636363636362E-2</v>
      </c>
      <c r="AD205" s="172">
        <f t="shared" ref="AD205" si="524">(E205-E209)/E209</f>
        <v>0</v>
      </c>
      <c r="AE205" s="172" t="e">
        <f>(F205-#REF!)/#REF!</f>
        <v>#REF!</v>
      </c>
      <c r="AF205" s="172" t="e">
        <f>(G205-#REF!)/#REF!</f>
        <v>#REF!</v>
      </c>
      <c r="AG205" s="172" t="e">
        <f>(H205-#REF!)/#REF!</f>
        <v>#REF!</v>
      </c>
      <c r="AH205" s="172" t="e">
        <f>(I205-#REF!)/#REF!</f>
        <v>#REF!</v>
      </c>
      <c r="AI205" s="172" t="e">
        <f>(J205-#REF!)/#REF!</f>
        <v>#REF!</v>
      </c>
      <c r="AJ205" s="172" t="e">
        <f>(D205-#REF!)/#REF!</f>
        <v>#REF!</v>
      </c>
      <c r="AK205" s="172" t="e">
        <f>(E205-#REF!)/#REF!</f>
        <v>#REF!</v>
      </c>
    </row>
    <row r="206" spans="1:37" x14ac:dyDescent="0.3">
      <c r="A206" s="169">
        <v>44806</v>
      </c>
      <c r="B206" s="159">
        <f t="shared" si="436"/>
        <v>2022</v>
      </c>
      <c r="C206" s="159">
        <f t="shared" si="437"/>
        <v>9</v>
      </c>
      <c r="D206" s="190">
        <f>AVERAGEIFS(data!G:G,data!A:A,'weekly-forecast'!B206,data!B:B,'weekly-forecast'!C206)</f>
        <v>530</v>
      </c>
      <c r="E206" s="190">
        <f>AVERAGEIFS(data!F:F,data!A:A,'weekly-forecast'!B206,data!B:B,'weekly-forecast'!C206)</f>
        <v>500</v>
      </c>
      <c r="F206" s="190">
        <v>328</v>
      </c>
      <c r="G206" s="190">
        <v>1087.5</v>
      </c>
      <c r="H206" s="190">
        <v>553</v>
      </c>
      <c r="I206" s="170">
        <v>9.1140000000000008</v>
      </c>
      <c r="J206" s="190">
        <v>90.608181818181819</v>
      </c>
      <c r="K206" s="202"/>
      <c r="L206" s="202"/>
      <c r="M206" s="202"/>
      <c r="N206" s="202"/>
      <c r="O206" s="202"/>
      <c r="P206" s="202"/>
      <c r="Q206" s="171">
        <f t="shared" si="439"/>
        <v>0</v>
      </c>
      <c r="R206" s="171">
        <f t="shared" si="440"/>
        <v>0.17567567567567569</v>
      </c>
      <c r="S206" s="171">
        <f t="shared" si="441"/>
        <v>8.4313725490196084E-2</v>
      </c>
      <c r="T206" s="171">
        <f t="shared" si="442"/>
        <v>-2.7819260144216193E-2</v>
      </c>
      <c r="U206" s="171">
        <f t="shared" si="443"/>
        <v>-7.2046726622622043E-2</v>
      </c>
      <c r="V206" s="171">
        <f t="shared" si="491"/>
        <v>-3.6363636363636362E-2</v>
      </c>
      <c r="W206" s="171">
        <f t="shared" si="444"/>
        <v>0</v>
      </c>
      <c r="X206" s="172">
        <f t="shared" si="422"/>
        <v>3.0581039755351682E-3</v>
      </c>
      <c r="Y206" s="172">
        <f t="shared" si="423"/>
        <v>0.17567567567567569</v>
      </c>
      <c r="Z206" s="172">
        <f t="shared" si="424"/>
        <v>0.24689966178128522</v>
      </c>
      <c r="AA206" s="172">
        <f t="shared" si="425"/>
        <v>0.12682673524393565</v>
      </c>
      <c r="AB206" s="172">
        <f t="shared" si="426"/>
        <v>-7.2046726622622043E-2</v>
      </c>
      <c r="AC206" s="172">
        <f t="shared" si="521"/>
        <v>-3.6363636363636362E-2</v>
      </c>
      <c r="AD206" s="172">
        <f t="shared" ref="AD206" si="525">(E206-E210)/E210</f>
        <v>0</v>
      </c>
      <c r="AE206" s="172" t="e">
        <f>(F206-#REF!)/#REF!</f>
        <v>#REF!</v>
      </c>
      <c r="AF206" s="172" t="e">
        <f>(G206-#REF!)/#REF!</f>
        <v>#REF!</v>
      </c>
      <c r="AG206" s="172" t="e">
        <f>(H206-#REF!)/#REF!</f>
        <v>#REF!</v>
      </c>
      <c r="AH206" s="172" t="e">
        <f>(I206-#REF!)/#REF!</f>
        <v>#REF!</v>
      </c>
      <c r="AI206" s="172" t="e">
        <f>(J206-#REF!)/#REF!</f>
        <v>#REF!</v>
      </c>
      <c r="AJ206" s="172" t="e">
        <f>(D206-#REF!)/#REF!</f>
        <v>#REF!</v>
      </c>
      <c r="AK206" s="172" t="e">
        <f>(E206-#REF!)/#REF!</f>
        <v>#REF!</v>
      </c>
    </row>
    <row r="207" spans="1:37" x14ac:dyDescent="0.3">
      <c r="A207" s="169">
        <v>44799</v>
      </c>
      <c r="B207" s="159">
        <f t="shared" si="436"/>
        <v>2022</v>
      </c>
      <c r="C207" s="159">
        <f t="shared" si="437"/>
        <v>8</v>
      </c>
      <c r="D207" s="190">
        <f>AVERAGEIFS(data!G:G,data!A:A,'weekly-forecast'!B207,data!B:B,'weekly-forecast'!C207)</f>
        <v>550</v>
      </c>
      <c r="E207" s="190">
        <f>AVERAGEIFS(data!F:F,data!A:A,'weekly-forecast'!B207,data!B:B,'weekly-forecast'!C207)</f>
        <v>500</v>
      </c>
      <c r="F207" s="190">
        <v>328</v>
      </c>
      <c r="G207" s="190">
        <v>925</v>
      </c>
      <c r="H207" s="190">
        <v>510</v>
      </c>
      <c r="I207" s="170">
        <v>9.3747999999999987</v>
      </c>
      <c r="J207" s="190">
        <v>97.643043478260878</v>
      </c>
      <c r="K207" s="200">
        <f>AVERAGE(D207:D210)</f>
        <v>550</v>
      </c>
      <c r="L207" s="200">
        <f t="shared" ref="L207:P207" si="526">AVERAGE(E207:E210)</f>
        <v>500</v>
      </c>
      <c r="M207" s="200">
        <f t="shared" si="526"/>
        <v>326.375</v>
      </c>
      <c r="N207" s="200">
        <f t="shared" si="526"/>
        <v>925</v>
      </c>
      <c r="O207" s="200">
        <f t="shared" si="526"/>
        <v>511.5</v>
      </c>
      <c r="P207" s="200">
        <f t="shared" si="526"/>
        <v>8.7202999999999999</v>
      </c>
      <c r="Q207" s="171">
        <f t="shared" si="439"/>
        <v>1.3910355486862442E-2</v>
      </c>
      <c r="R207" s="171">
        <f t="shared" si="440"/>
        <v>0</v>
      </c>
      <c r="S207" s="171">
        <f t="shared" si="441"/>
        <v>0</v>
      </c>
      <c r="T207" s="171">
        <f t="shared" si="442"/>
        <v>2.2891434806328177E-2</v>
      </c>
      <c r="U207" s="171">
        <f t="shared" si="443"/>
        <v>0</v>
      </c>
      <c r="V207" s="171">
        <f t="shared" si="491"/>
        <v>0</v>
      </c>
      <c r="W207" s="171">
        <f t="shared" si="444"/>
        <v>0</v>
      </c>
      <c r="X207" s="172" t="e">
        <f>(F207-#REF!)/#REF!</f>
        <v>#REF!</v>
      </c>
      <c r="Y207" s="172" t="e">
        <f>(G207-#REF!)/#REF!</f>
        <v>#REF!</v>
      </c>
      <c r="Z207" s="172" t="e">
        <f>(H207-#REF!)/#REF!</f>
        <v>#REF!</v>
      </c>
      <c r="AA207" s="172" t="e">
        <f>(I207-#REF!)/#REF!</f>
        <v>#REF!</v>
      </c>
      <c r="AB207" s="172" t="e">
        <f>(J207-#REF!)/#REF!</f>
        <v>#REF!</v>
      </c>
      <c r="AC207" s="172" t="e">
        <f>(D207-#REF!)/#REF!</f>
        <v>#REF!</v>
      </c>
      <c r="AD207" s="172" t="e">
        <f>(E207-#REF!)/#REF!</f>
        <v>#REF!</v>
      </c>
      <c r="AE207" s="172" t="e">
        <f>(F207-#REF!)/#REF!</f>
        <v>#REF!</v>
      </c>
      <c r="AF207" s="172" t="e">
        <f>(G207-#REF!)/#REF!</f>
        <v>#REF!</v>
      </c>
      <c r="AG207" s="172" t="e">
        <f>(H207-#REF!)/#REF!</f>
        <v>#REF!</v>
      </c>
      <c r="AH207" s="172" t="e">
        <f>(I207-#REF!)/#REF!</f>
        <v>#REF!</v>
      </c>
      <c r="AI207" s="172" t="e">
        <f>(J207-#REF!)/#REF!</f>
        <v>#REF!</v>
      </c>
      <c r="AJ207" s="172" t="e">
        <f>(D207-#REF!)/#REF!</f>
        <v>#REF!</v>
      </c>
      <c r="AK207" s="172" t="e">
        <f>(E207-#REF!)/#REF!</f>
        <v>#REF!</v>
      </c>
    </row>
    <row r="208" spans="1:37" x14ac:dyDescent="0.3">
      <c r="A208" s="169">
        <v>44792</v>
      </c>
      <c r="B208" s="159">
        <f t="shared" si="436"/>
        <v>2022</v>
      </c>
      <c r="C208" s="159">
        <f t="shared" si="437"/>
        <v>8</v>
      </c>
      <c r="D208" s="190">
        <f>AVERAGEIFS(data!G:G,data!A:A,'weekly-forecast'!B208,data!B:B,'weekly-forecast'!C208)</f>
        <v>550</v>
      </c>
      <c r="E208" s="190">
        <f>AVERAGEIFS(data!F:F,data!A:A,'weekly-forecast'!B208,data!B:B,'weekly-forecast'!C208)</f>
        <v>500</v>
      </c>
      <c r="F208" s="190">
        <v>323.5</v>
      </c>
      <c r="G208" s="190">
        <v>925</v>
      </c>
      <c r="H208" s="190">
        <v>510</v>
      </c>
      <c r="I208" s="170">
        <v>9.1650000000000009</v>
      </c>
      <c r="J208" s="190">
        <v>97.643043478260878</v>
      </c>
      <c r="K208" s="201"/>
      <c r="L208" s="201"/>
      <c r="M208" s="201"/>
      <c r="N208" s="201"/>
      <c r="O208" s="201"/>
      <c r="P208" s="201"/>
      <c r="Q208" s="171">
        <f t="shared" si="439"/>
        <v>-1.0703363914373088E-2</v>
      </c>
      <c r="R208" s="171">
        <f t="shared" si="440"/>
        <v>0</v>
      </c>
      <c r="S208" s="171">
        <f t="shared" si="441"/>
        <v>-0.12446351931330472</v>
      </c>
      <c r="T208" s="171">
        <f t="shared" si="442"/>
        <v>0.11047835990888398</v>
      </c>
      <c r="U208" s="171">
        <f t="shared" si="443"/>
        <v>0</v>
      </c>
      <c r="V208" s="171">
        <f t="shared" si="491"/>
        <v>0</v>
      </c>
      <c r="W208" s="171">
        <f t="shared" si="444"/>
        <v>0</v>
      </c>
      <c r="X208" s="172" t="e">
        <f>(F208-#REF!)/#REF!</f>
        <v>#REF!</v>
      </c>
      <c r="Y208" s="172" t="e">
        <f>(G208-#REF!)/#REF!</f>
        <v>#REF!</v>
      </c>
      <c r="Z208" s="172" t="e">
        <f>(H208-#REF!)/#REF!</f>
        <v>#REF!</v>
      </c>
      <c r="AA208" s="172" t="e">
        <f>(I208-#REF!)/#REF!</f>
        <v>#REF!</v>
      </c>
      <c r="AB208" s="172" t="e">
        <f>(J208-#REF!)/#REF!</f>
        <v>#REF!</v>
      </c>
      <c r="AC208" s="172" t="e">
        <f>(D208-#REF!)/#REF!</f>
        <v>#REF!</v>
      </c>
      <c r="AD208" s="172" t="e">
        <f>(E208-#REF!)/#REF!</f>
        <v>#REF!</v>
      </c>
      <c r="AE208" s="172" t="e">
        <f>(F208-#REF!)/#REF!</f>
        <v>#REF!</v>
      </c>
      <c r="AF208" s="172" t="e">
        <f>(G208-#REF!)/#REF!</f>
        <v>#REF!</v>
      </c>
      <c r="AG208" s="172" t="e">
        <f>(H208-#REF!)/#REF!</f>
        <v>#REF!</v>
      </c>
      <c r="AH208" s="172" t="e">
        <f>(I208-#REF!)/#REF!</f>
        <v>#REF!</v>
      </c>
      <c r="AI208" s="172" t="e">
        <f>(J208-#REF!)/#REF!</f>
        <v>#REF!</v>
      </c>
      <c r="AJ208" s="172" t="e">
        <f>(D208-#REF!)/#REF!</f>
        <v>#REF!</v>
      </c>
      <c r="AK208" s="172" t="e">
        <f>(E208-#REF!)/#REF!</f>
        <v>#REF!</v>
      </c>
    </row>
    <row r="209" spans="1:37" x14ac:dyDescent="0.3">
      <c r="A209" s="169">
        <v>44785</v>
      </c>
      <c r="B209" s="159">
        <f t="shared" si="436"/>
        <v>2022</v>
      </c>
      <c r="C209" s="159">
        <f t="shared" si="437"/>
        <v>8</v>
      </c>
      <c r="D209" s="190">
        <f>AVERAGEIFS(data!G:G,data!A:A,'weekly-forecast'!B209,data!B:B,'weekly-forecast'!C209)</f>
        <v>550</v>
      </c>
      <c r="E209" s="190">
        <f>AVERAGEIFS(data!F:F,data!A:A,'weekly-forecast'!B209,data!B:B,'weekly-forecast'!C209)</f>
        <v>500</v>
      </c>
      <c r="F209" s="190">
        <v>327</v>
      </c>
      <c r="G209" s="190">
        <v>925</v>
      </c>
      <c r="H209" s="190">
        <v>582.5</v>
      </c>
      <c r="I209" s="170">
        <v>8.2531999999999996</v>
      </c>
      <c r="J209" s="190">
        <v>97.643043478260878</v>
      </c>
      <c r="K209" s="201"/>
      <c r="L209" s="201"/>
      <c r="M209" s="201"/>
      <c r="N209" s="201"/>
      <c r="O209" s="201"/>
      <c r="P209" s="201"/>
      <c r="Q209" s="171">
        <f t="shared" si="439"/>
        <v>0</v>
      </c>
      <c r="R209" s="171">
        <f t="shared" si="440"/>
        <v>0</v>
      </c>
      <c r="S209" s="171">
        <f t="shared" si="441"/>
        <v>0.31341600901916572</v>
      </c>
      <c r="T209" s="171">
        <f t="shared" si="442"/>
        <v>2.0400089018570156E-2</v>
      </c>
      <c r="U209" s="171">
        <f t="shared" si="443"/>
        <v>0</v>
      </c>
      <c r="V209" s="171">
        <f t="shared" si="491"/>
        <v>0</v>
      </c>
      <c r="W209" s="171">
        <f t="shared" si="444"/>
        <v>0</v>
      </c>
      <c r="X209" s="172" t="e">
        <f>(F209-#REF!)/#REF!</f>
        <v>#REF!</v>
      </c>
      <c r="Y209" s="172" t="e">
        <f>(G209-#REF!)/#REF!</f>
        <v>#REF!</v>
      </c>
      <c r="Z209" s="172" t="e">
        <f>(H209-#REF!)/#REF!</f>
        <v>#REF!</v>
      </c>
      <c r="AA209" s="172" t="e">
        <f>(I209-#REF!)/#REF!</f>
        <v>#REF!</v>
      </c>
      <c r="AB209" s="172" t="e">
        <f>(J209-#REF!)/#REF!</f>
        <v>#REF!</v>
      </c>
      <c r="AC209" s="172" t="e">
        <f>(D209-#REF!)/#REF!</f>
        <v>#REF!</v>
      </c>
      <c r="AD209" s="172" t="e">
        <f>(E209-#REF!)/#REF!</f>
        <v>#REF!</v>
      </c>
      <c r="AE209" s="172" t="e">
        <f>(F209-#REF!)/#REF!</f>
        <v>#REF!</v>
      </c>
      <c r="AF209" s="172" t="e">
        <f>(G209-#REF!)/#REF!</f>
        <v>#REF!</v>
      </c>
      <c r="AG209" s="172" t="e">
        <f>(H209-#REF!)/#REF!</f>
        <v>#REF!</v>
      </c>
      <c r="AH209" s="172" t="e">
        <f>(I209-#REF!)/#REF!</f>
        <v>#REF!</v>
      </c>
      <c r="AI209" s="172" t="e">
        <f>(J209-#REF!)/#REF!</f>
        <v>#REF!</v>
      </c>
      <c r="AJ209" s="172" t="e">
        <f>(D209-#REF!)/#REF!</f>
        <v>#REF!</v>
      </c>
      <c r="AK209" s="172" t="e">
        <f>(E209-#REF!)/#REF!</f>
        <v>#REF!</v>
      </c>
    </row>
    <row r="210" spans="1:37" x14ac:dyDescent="0.3">
      <c r="A210" s="169">
        <v>44778</v>
      </c>
      <c r="B210" s="159">
        <f t="shared" si="436"/>
        <v>2022</v>
      </c>
      <c r="C210" s="159">
        <f t="shared" si="437"/>
        <v>8</v>
      </c>
      <c r="D210" s="190">
        <f>AVERAGEIFS(data!G:G,data!A:A,'weekly-forecast'!B210,data!B:B,'weekly-forecast'!C210)</f>
        <v>550</v>
      </c>
      <c r="E210" s="190">
        <f>AVERAGEIFS(data!F:F,data!A:A,'weekly-forecast'!B210,data!B:B,'weekly-forecast'!C210)</f>
        <v>500</v>
      </c>
      <c r="F210" s="190">
        <v>327</v>
      </c>
      <c r="G210" s="190">
        <v>925</v>
      </c>
      <c r="H210" s="190">
        <v>443.5</v>
      </c>
      <c r="I210" s="170">
        <v>8.0882000000000005</v>
      </c>
      <c r="J210" s="190">
        <v>97.643043478260878</v>
      </c>
      <c r="K210" s="202"/>
      <c r="L210" s="202"/>
      <c r="M210" s="202"/>
      <c r="N210" s="202"/>
      <c r="O210" s="202"/>
      <c r="P210" s="202"/>
      <c r="Q210" s="171" t="e">
        <f>(F210-#REF!)/#REF!</f>
        <v>#REF!</v>
      </c>
      <c r="R210" s="171" t="e">
        <f>(G210-#REF!)/#REF!</f>
        <v>#REF!</v>
      </c>
      <c r="S210" s="171" t="e">
        <f>(H210-#REF!)/#REF!</f>
        <v>#REF!</v>
      </c>
      <c r="T210" s="171" t="e">
        <f>(I210-#REF!)/#REF!</f>
        <v>#REF!</v>
      </c>
      <c r="U210" s="171" t="e">
        <f>(J210-#REF!)/#REF!</f>
        <v>#REF!</v>
      </c>
      <c r="V210" s="171" t="e">
        <f>(D210-#REF!)/#REF!</f>
        <v>#REF!</v>
      </c>
      <c r="W210" s="171" t="e">
        <f>(E210-#REF!)/#REF!</f>
        <v>#REF!</v>
      </c>
      <c r="X210" s="172" t="e">
        <f>(F210-#REF!)/#REF!</f>
        <v>#REF!</v>
      </c>
      <c r="Y210" s="172" t="e">
        <f>(G210-#REF!)/#REF!</f>
        <v>#REF!</v>
      </c>
      <c r="Z210" s="172" t="e">
        <f>(H210-#REF!)/#REF!</f>
        <v>#REF!</v>
      </c>
      <c r="AA210" s="172" t="e">
        <f>(I210-#REF!)/#REF!</f>
        <v>#REF!</v>
      </c>
      <c r="AB210" s="172" t="e">
        <f>(J210-#REF!)/#REF!</f>
        <v>#REF!</v>
      </c>
      <c r="AC210" s="172" t="e">
        <f>(D210-#REF!)/#REF!</f>
        <v>#REF!</v>
      </c>
      <c r="AD210" s="172" t="e">
        <f>(E210-#REF!)/#REF!</f>
        <v>#REF!</v>
      </c>
      <c r="AE210" s="172" t="e">
        <f>(F210-#REF!)/#REF!</f>
        <v>#REF!</v>
      </c>
      <c r="AF210" s="172" t="e">
        <f>(G210-#REF!)/#REF!</f>
        <v>#REF!</v>
      </c>
      <c r="AG210" s="172" t="e">
        <f>(H210-#REF!)/#REF!</f>
        <v>#REF!</v>
      </c>
      <c r="AH210" s="172" t="e">
        <f>(I210-#REF!)/#REF!</f>
        <v>#REF!</v>
      </c>
      <c r="AI210" s="172" t="e">
        <f>(J210-#REF!)/#REF!</f>
        <v>#REF!</v>
      </c>
      <c r="AJ210" s="172" t="e">
        <f>(D210-#REF!)/#REF!</f>
        <v>#REF!</v>
      </c>
      <c r="AK210" s="172" t="e">
        <f>(E210-#REF!)/#REF!</f>
        <v>#REF!</v>
      </c>
    </row>
  </sheetData>
  <mergeCells count="296">
    <mergeCell ref="K3:K6"/>
    <mergeCell ref="L3:L6"/>
    <mergeCell ref="M3:M6"/>
    <mergeCell ref="N3:N6"/>
    <mergeCell ref="O3:O6"/>
    <mergeCell ref="P3:P6"/>
    <mergeCell ref="D1:J1"/>
    <mergeCell ref="AM35:AW41"/>
    <mergeCell ref="AM2:AW23"/>
    <mergeCell ref="K41:K45"/>
    <mergeCell ref="M11:M15"/>
    <mergeCell ref="N11:N15"/>
    <mergeCell ref="O11:O15"/>
    <mergeCell ref="P11:P15"/>
    <mergeCell ref="M16:M19"/>
    <mergeCell ref="N16:N19"/>
    <mergeCell ref="O16:O19"/>
    <mergeCell ref="P16:P19"/>
    <mergeCell ref="M20:M23"/>
    <mergeCell ref="AM44:AW57"/>
    <mergeCell ref="K1:P1"/>
    <mergeCell ref="K7:K10"/>
    <mergeCell ref="L7:L10"/>
    <mergeCell ref="M7:M10"/>
    <mergeCell ref="N7:N10"/>
    <mergeCell ref="O7:O10"/>
    <mergeCell ref="P7:P10"/>
    <mergeCell ref="K11:K15"/>
    <mergeCell ref="K16:K19"/>
    <mergeCell ref="K20:K23"/>
    <mergeCell ref="K24:K27"/>
    <mergeCell ref="K28:K32"/>
    <mergeCell ref="K33:K36"/>
    <mergeCell ref="K37:K40"/>
    <mergeCell ref="Q1:W1"/>
    <mergeCell ref="X1:AD1"/>
    <mergeCell ref="AE1:AK1"/>
    <mergeCell ref="K68:K71"/>
    <mergeCell ref="K72:K75"/>
    <mergeCell ref="N20:N23"/>
    <mergeCell ref="O20:O23"/>
    <mergeCell ref="P20:P23"/>
    <mergeCell ref="M24:M27"/>
    <mergeCell ref="N24:N27"/>
    <mergeCell ref="O24:O27"/>
    <mergeCell ref="P24:P27"/>
    <mergeCell ref="M50:M54"/>
    <mergeCell ref="N50:N54"/>
    <mergeCell ref="O50:O54"/>
    <mergeCell ref="P50:P54"/>
    <mergeCell ref="M55:M58"/>
    <mergeCell ref="N55:N58"/>
    <mergeCell ref="O55:O58"/>
    <mergeCell ref="P55:P58"/>
    <mergeCell ref="L59:L62"/>
    <mergeCell ref="M59:M62"/>
    <mergeCell ref="N59:N62"/>
    <mergeCell ref="K76:K79"/>
    <mergeCell ref="K80:K84"/>
    <mergeCell ref="K85:K88"/>
    <mergeCell ref="K46:K49"/>
    <mergeCell ref="K50:K54"/>
    <mergeCell ref="K55:K58"/>
    <mergeCell ref="K59:K62"/>
    <mergeCell ref="K63:K67"/>
    <mergeCell ref="K198:K201"/>
    <mergeCell ref="K194:K197"/>
    <mergeCell ref="K133:K136"/>
    <mergeCell ref="K137:K141"/>
    <mergeCell ref="K142:K145"/>
    <mergeCell ref="K146:K149"/>
    <mergeCell ref="K150:K154"/>
    <mergeCell ref="K111:K114"/>
    <mergeCell ref="K115:K119"/>
    <mergeCell ref="K120:K123"/>
    <mergeCell ref="K124:K128"/>
    <mergeCell ref="K129:K132"/>
    <mergeCell ref="K89:K93"/>
    <mergeCell ref="K94:K97"/>
    <mergeCell ref="K98:K101"/>
    <mergeCell ref="K102:K106"/>
    <mergeCell ref="K202:K206"/>
    <mergeCell ref="K207:K210"/>
    <mergeCell ref="L11:L15"/>
    <mergeCell ref="L16:L19"/>
    <mergeCell ref="L20:L23"/>
    <mergeCell ref="L28:L32"/>
    <mergeCell ref="L37:L40"/>
    <mergeCell ref="L46:L49"/>
    <mergeCell ref="L55:L58"/>
    <mergeCell ref="L63:L67"/>
    <mergeCell ref="L72:L75"/>
    <mergeCell ref="L80:L84"/>
    <mergeCell ref="L89:L93"/>
    <mergeCell ref="L98:L101"/>
    <mergeCell ref="K172:K175"/>
    <mergeCell ref="K176:K180"/>
    <mergeCell ref="K181:K184"/>
    <mergeCell ref="K185:K188"/>
    <mergeCell ref="K189:K193"/>
    <mergeCell ref="K155:K158"/>
    <mergeCell ref="K159:K162"/>
    <mergeCell ref="K163:K167"/>
    <mergeCell ref="K168:K171"/>
    <mergeCell ref="L24:L27"/>
    <mergeCell ref="K107:K110"/>
    <mergeCell ref="M28:M32"/>
    <mergeCell ref="N28:N32"/>
    <mergeCell ref="O28:O32"/>
    <mergeCell ref="P28:P32"/>
    <mergeCell ref="L33:L36"/>
    <mergeCell ref="M33:M36"/>
    <mergeCell ref="N33:N36"/>
    <mergeCell ref="O33:O36"/>
    <mergeCell ref="P33:P36"/>
    <mergeCell ref="M37:M40"/>
    <mergeCell ref="N37:N40"/>
    <mergeCell ref="O37:O40"/>
    <mergeCell ref="P37:P40"/>
    <mergeCell ref="L41:L45"/>
    <mergeCell ref="M41:M45"/>
    <mergeCell ref="N41:N45"/>
    <mergeCell ref="O41:O45"/>
    <mergeCell ref="P41:P45"/>
    <mergeCell ref="M46:M49"/>
    <mergeCell ref="N46:N49"/>
    <mergeCell ref="O46:O49"/>
    <mergeCell ref="P46:P49"/>
    <mergeCell ref="L50:L54"/>
    <mergeCell ref="O59:O62"/>
    <mergeCell ref="P59:P62"/>
    <mergeCell ref="M63:M67"/>
    <mergeCell ref="N63:N67"/>
    <mergeCell ref="O63:O67"/>
    <mergeCell ref="P63:P67"/>
    <mergeCell ref="L68:L71"/>
    <mergeCell ref="M68:M71"/>
    <mergeCell ref="N68:N71"/>
    <mergeCell ref="O68:O71"/>
    <mergeCell ref="P68:P71"/>
    <mergeCell ref="M72:M75"/>
    <mergeCell ref="N72:N75"/>
    <mergeCell ref="O72:O75"/>
    <mergeCell ref="P72:P75"/>
    <mergeCell ref="L76:L79"/>
    <mergeCell ref="M76:M79"/>
    <mergeCell ref="N76:N79"/>
    <mergeCell ref="O76:O79"/>
    <mergeCell ref="P76:P79"/>
    <mergeCell ref="M80:M84"/>
    <mergeCell ref="N80:N84"/>
    <mergeCell ref="O80:O84"/>
    <mergeCell ref="P80:P84"/>
    <mergeCell ref="L85:L88"/>
    <mergeCell ref="M85:M88"/>
    <mergeCell ref="N85:N88"/>
    <mergeCell ref="O85:O88"/>
    <mergeCell ref="P85:P88"/>
    <mergeCell ref="M89:M93"/>
    <mergeCell ref="N89:N93"/>
    <mergeCell ref="O89:O93"/>
    <mergeCell ref="P89:P93"/>
    <mergeCell ref="L94:L97"/>
    <mergeCell ref="M94:M97"/>
    <mergeCell ref="N94:N97"/>
    <mergeCell ref="O94:O97"/>
    <mergeCell ref="P94:P97"/>
    <mergeCell ref="M98:M101"/>
    <mergeCell ref="N98:N101"/>
    <mergeCell ref="O98:O101"/>
    <mergeCell ref="P98:P101"/>
    <mergeCell ref="L102:L106"/>
    <mergeCell ref="M102:M106"/>
    <mergeCell ref="N102:N106"/>
    <mergeCell ref="O102:O106"/>
    <mergeCell ref="P102:P106"/>
    <mergeCell ref="L111:L114"/>
    <mergeCell ref="M111:M114"/>
    <mergeCell ref="N111:N114"/>
    <mergeCell ref="O111:O114"/>
    <mergeCell ref="P111:P114"/>
    <mergeCell ref="L107:L110"/>
    <mergeCell ref="M107:M110"/>
    <mergeCell ref="N107:N110"/>
    <mergeCell ref="O107:O110"/>
    <mergeCell ref="P107:P110"/>
    <mergeCell ref="L120:L123"/>
    <mergeCell ref="M120:M123"/>
    <mergeCell ref="N120:N123"/>
    <mergeCell ref="O120:O123"/>
    <mergeCell ref="P120:P123"/>
    <mergeCell ref="L115:L119"/>
    <mergeCell ref="M115:M119"/>
    <mergeCell ref="N115:N119"/>
    <mergeCell ref="O115:O119"/>
    <mergeCell ref="P115:P119"/>
    <mergeCell ref="L129:L132"/>
    <mergeCell ref="M129:M132"/>
    <mergeCell ref="N129:N132"/>
    <mergeCell ref="O129:O132"/>
    <mergeCell ref="P129:P132"/>
    <mergeCell ref="L124:L128"/>
    <mergeCell ref="M124:M128"/>
    <mergeCell ref="N124:N128"/>
    <mergeCell ref="O124:O128"/>
    <mergeCell ref="P124:P128"/>
    <mergeCell ref="L137:L141"/>
    <mergeCell ref="M137:M141"/>
    <mergeCell ref="N137:N141"/>
    <mergeCell ref="O137:O141"/>
    <mergeCell ref="P137:P141"/>
    <mergeCell ref="L133:L136"/>
    <mergeCell ref="M133:M136"/>
    <mergeCell ref="N133:N136"/>
    <mergeCell ref="O133:O136"/>
    <mergeCell ref="P133:P136"/>
    <mergeCell ref="L146:L149"/>
    <mergeCell ref="M146:M149"/>
    <mergeCell ref="N146:N149"/>
    <mergeCell ref="O146:O149"/>
    <mergeCell ref="P146:P149"/>
    <mergeCell ref="L142:L145"/>
    <mergeCell ref="M142:M145"/>
    <mergeCell ref="N142:N145"/>
    <mergeCell ref="O142:O145"/>
    <mergeCell ref="P142:P145"/>
    <mergeCell ref="L155:L158"/>
    <mergeCell ref="M155:M158"/>
    <mergeCell ref="N155:N158"/>
    <mergeCell ref="O155:O158"/>
    <mergeCell ref="P155:P158"/>
    <mergeCell ref="L150:L154"/>
    <mergeCell ref="M150:M154"/>
    <mergeCell ref="N150:N154"/>
    <mergeCell ref="O150:O154"/>
    <mergeCell ref="P150:P154"/>
    <mergeCell ref="L163:L167"/>
    <mergeCell ref="M163:M167"/>
    <mergeCell ref="N163:N167"/>
    <mergeCell ref="O163:O167"/>
    <mergeCell ref="P163:P167"/>
    <mergeCell ref="L159:L162"/>
    <mergeCell ref="M159:M162"/>
    <mergeCell ref="N159:N162"/>
    <mergeCell ref="O159:O162"/>
    <mergeCell ref="P159:P162"/>
    <mergeCell ref="L172:L175"/>
    <mergeCell ref="M172:M175"/>
    <mergeCell ref="N172:N175"/>
    <mergeCell ref="O172:O175"/>
    <mergeCell ref="P172:P175"/>
    <mergeCell ref="L168:L171"/>
    <mergeCell ref="M168:M171"/>
    <mergeCell ref="N168:N171"/>
    <mergeCell ref="O168:O171"/>
    <mergeCell ref="P168:P171"/>
    <mergeCell ref="L181:L184"/>
    <mergeCell ref="M181:M184"/>
    <mergeCell ref="N181:N184"/>
    <mergeCell ref="O181:O184"/>
    <mergeCell ref="P181:P184"/>
    <mergeCell ref="L176:L180"/>
    <mergeCell ref="M176:M180"/>
    <mergeCell ref="N176:N180"/>
    <mergeCell ref="O176:O180"/>
    <mergeCell ref="P176:P180"/>
    <mergeCell ref="L189:L193"/>
    <mergeCell ref="M189:M193"/>
    <mergeCell ref="N189:N193"/>
    <mergeCell ref="O189:O193"/>
    <mergeCell ref="P189:P193"/>
    <mergeCell ref="L185:L188"/>
    <mergeCell ref="M185:M188"/>
    <mergeCell ref="N185:N188"/>
    <mergeCell ref="O185:O188"/>
    <mergeCell ref="P185:P188"/>
    <mergeCell ref="L198:L201"/>
    <mergeCell ref="M198:M201"/>
    <mergeCell ref="N198:N201"/>
    <mergeCell ref="O198:O201"/>
    <mergeCell ref="P198:P201"/>
    <mergeCell ref="L194:L197"/>
    <mergeCell ref="M194:M197"/>
    <mergeCell ref="N194:N197"/>
    <mergeCell ref="O194:O197"/>
    <mergeCell ref="P194:P197"/>
    <mergeCell ref="L207:L210"/>
    <mergeCell ref="M207:M210"/>
    <mergeCell ref="N207:N210"/>
    <mergeCell ref="O207:O210"/>
    <mergeCell ref="P207:P210"/>
    <mergeCell ref="L202:L206"/>
    <mergeCell ref="M202:M206"/>
    <mergeCell ref="N202:N206"/>
    <mergeCell ref="O202:O206"/>
    <mergeCell ref="P202:P20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EBDD5-8A42-4B4D-BAAF-9A138D877C63}">
  <dimension ref="A1:AT213"/>
  <sheetViews>
    <sheetView zoomScaleNormal="100" workbookViewId="0">
      <selection activeCell="M114" sqref="M114:M117"/>
    </sheetView>
  </sheetViews>
  <sheetFormatPr defaultRowHeight="14.4" x14ac:dyDescent="0.3"/>
  <cols>
    <col min="1" max="1" width="11.33203125" bestFit="1" customWidth="1"/>
    <col min="2" max="2" width="5" bestFit="1" customWidth="1"/>
    <col min="3" max="3" width="6.88671875" bestFit="1" customWidth="1"/>
    <col min="4" max="4" width="8.88671875" style="143" bestFit="1" customWidth="1"/>
    <col min="5" max="5" width="9.109375" style="143" bestFit="1" customWidth="1"/>
    <col min="6" max="7" width="9.109375" style="143" hidden="1" customWidth="1"/>
    <col min="8" max="8" width="10.44140625" style="143" bestFit="1" customWidth="1"/>
    <col min="9" max="9" width="11" style="143" bestFit="1" customWidth="1"/>
    <col min="10" max="10" width="6.5546875" style="143" bestFit="1" customWidth="1"/>
    <col min="11" max="11" width="12.88671875" style="131" bestFit="1" customWidth="1"/>
    <col min="12" max="13" width="8.44140625" style="143" customWidth="1"/>
    <col min="14" max="14" width="7.44140625" style="143" bestFit="1" customWidth="1"/>
    <col min="15" max="15" width="7.6640625" style="143" customWidth="1"/>
    <col min="16" max="16" width="10.44140625" style="143" bestFit="1" customWidth="1"/>
    <col min="17" max="17" width="11" style="143" bestFit="1" customWidth="1"/>
    <col min="18" max="18" width="7.6640625" style="143" bestFit="1" customWidth="1"/>
    <col min="19" max="19" width="11.44140625" style="131" bestFit="1" customWidth="1"/>
    <col min="30" max="32" width="8" bestFit="1" customWidth="1"/>
    <col min="34" max="34" width="10.33203125" bestFit="1" customWidth="1"/>
    <col min="35" max="35" width="9.5546875" bestFit="1" customWidth="1"/>
  </cols>
  <sheetData>
    <row r="1" spans="1:39" x14ac:dyDescent="0.3">
      <c r="A1" s="159"/>
      <c r="B1" s="159"/>
      <c r="C1" s="159"/>
      <c r="D1" s="209" t="s">
        <v>88</v>
      </c>
      <c r="E1" s="209"/>
      <c r="F1" s="209"/>
      <c r="G1" s="209"/>
      <c r="H1" s="209"/>
      <c r="I1" s="209"/>
      <c r="J1" s="209"/>
      <c r="K1" s="209"/>
      <c r="L1" s="211" t="s">
        <v>89</v>
      </c>
      <c r="M1" s="212"/>
      <c r="N1" s="212"/>
      <c r="O1" s="212"/>
      <c r="P1" s="212"/>
      <c r="Q1" s="212"/>
      <c r="R1" s="212"/>
      <c r="S1" s="213"/>
      <c r="T1" s="158"/>
      <c r="U1" s="158"/>
      <c r="V1" s="158"/>
      <c r="W1" s="158"/>
      <c r="X1" s="158"/>
      <c r="Y1" s="158"/>
      <c r="Z1" s="158"/>
      <c r="AA1" s="158"/>
      <c r="AB1" s="158"/>
    </row>
    <row r="2" spans="1:39" s="2" customFormat="1" ht="30" customHeight="1" x14ac:dyDescent="0.3">
      <c r="A2" s="160" t="s">
        <v>93</v>
      </c>
      <c r="B2" s="160" t="s">
        <v>1</v>
      </c>
      <c r="C2" s="160" t="s">
        <v>2</v>
      </c>
      <c r="D2" s="187" t="s">
        <v>95</v>
      </c>
      <c r="E2" s="187" t="s">
        <v>96</v>
      </c>
      <c r="F2" s="187" t="s">
        <v>97</v>
      </c>
      <c r="G2" s="187" t="s">
        <v>98</v>
      </c>
      <c r="H2" s="187" t="s">
        <v>71</v>
      </c>
      <c r="I2" s="187" t="s">
        <v>72</v>
      </c>
      <c r="J2" s="187" t="s">
        <v>73</v>
      </c>
      <c r="K2" s="162" t="s">
        <v>74</v>
      </c>
      <c r="L2" s="191" t="s">
        <v>99</v>
      </c>
      <c r="M2" s="191" t="s">
        <v>100</v>
      </c>
      <c r="N2" s="187" t="s">
        <v>4</v>
      </c>
      <c r="O2" s="187" t="s">
        <v>70</v>
      </c>
      <c r="P2" s="187" t="s">
        <v>71</v>
      </c>
      <c r="Q2" s="187" t="s">
        <v>72</v>
      </c>
      <c r="R2" s="187" t="s">
        <v>73</v>
      </c>
      <c r="S2" s="161" t="s">
        <v>74</v>
      </c>
      <c r="AD2" s="157"/>
      <c r="AE2" s="157"/>
      <c r="AF2" s="157"/>
      <c r="AG2" s="157"/>
      <c r="AH2" s="157"/>
      <c r="AI2" s="157"/>
      <c r="AJ2" s="157"/>
      <c r="AK2" s="157"/>
      <c r="AL2" s="157"/>
      <c r="AM2" s="157"/>
    </row>
    <row r="3" spans="1:39" s="2" customFormat="1" ht="30" customHeight="1" x14ac:dyDescent="0.3">
      <c r="A3" s="186">
        <f t="shared" ref="A3:A5" si="0">A4+7</f>
        <v>46248</v>
      </c>
      <c r="B3" s="159">
        <f t="shared" ref="B3:B5" si="1">YEAR(A3)</f>
        <v>2026</v>
      </c>
      <c r="C3" s="159">
        <f t="shared" ref="C3:C5" si="2">MONTH(A3)</f>
        <v>8</v>
      </c>
      <c r="D3" s="187"/>
      <c r="E3" s="187"/>
      <c r="F3" s="187"/>
      <c r="G3" s="187"/>
      <c r="H3" s="187"/>
      <c r="I3" s="187"/>
      <c r="J3" s="187"/>
      <c r="K3" s="162"/>
      <c r="L3" s="192"/>
      <c r="M3" s="192"/>
      <c r="N3" s="193"/>
      <c r="O3" s="193"/>
      <c r="P3" s="193"/>
      <c r="Q3" s="193"/>
      <c r="R3" s="193"/>
      <c r="S3" s="194"/>
      <c r="AD3" s="157"/>
      <c r="AE3" s="157"/>
      <c r="AF3" s="157"/>
      <c r="AG3" s="157"/>
      <c r="AH3" s="157"/>
      <c r="AI3" s="157"/>
      <c r="AJ3" s="157"/>
      <c r="AK3" s="157"/>
      <c r="AL3" s="157"/>
      <c r="AM3" s="157"/>
    </row>
    <row r="4" spans="1:39" s="2" customFormat="1" ht="30" customHeight="1" x14ac:dyDescent="0.3">
      <c r="A4" s="186">
        <f t="shared" si="0"/>
        <v>46241</v>
      </c>
      <c r="B4" s="159">
        <f t="shared" si="1"/>
        <v>2026</v>
      </c>
      <c r="C4" s="159">
        <f t="shared" si="2"/>
        <v>8</v>
      </c>
      <c r="D4" s="187"/>
      <c r="E4" s="187"/>
      <c r="F4" s="187"/>
      <c r="G4" s="187"/>
      <c r="H4" s="187"/>
      <c r="I4" s="187"/>
      <c r="J4" s="187"/>
      <c r="K4" s="162"/>
      <c r="L4" s="192"/>
      <c r="M4" s="192"/>
      <c r="N4" s="193"/>
      <c r="O4" s="193"/>
      <c r="P4" s="193"/>
      <c r="Q4" s="193"/>
      <c r="R4" s="193"/>
      <c r="S4" s="194"/>
      <c r="AD4" s="157"/>
      <c r="AE4" s="157"/>
      <c r="AF4" s="157"/>
      <c r="AG4" s="157"/>
      <c r="AH4" s="157"/>
      <c r="AI4" s="157"/>
      <c r="AJ4" s="157"/>
      <c r="AK4" s="157"/>
      <c r="AL4" s="157"/>
      <c r="AM4" s="157"/>
    </row>
    <row r="5" spans="1:39" s="2" customFormat="1" ht="30" customHeight="1" x14ac:dyDescent="0.3">
      <c r="A5" s="186">
        <f t="shared" si="0"/>
        <v>46234</v>
      </c>
      <c r="B5" s="159">
        <f t="shared" si="1"/>
        <v>2026</v>
      </c>
      <c r="C5" s="159">
        <f t="shared" si="2"/>
        <v>7</v>
      </c>
      <c r="D5" s="187"/>
      <c r="E5" s="187"/>
      <c r="F5" s="187"/>
      <c r="G5" s="187"/>
      <c r="H5" s="187"/>
      <c r="I5" s="187"/>
      <c r="J5" s="187"/>
      <c r="K5" s="162"/>
      <c r="L5" s="192"/>
      <c r="M5" s="192"/>
      <c r="N5" s="193"/>
      <c r="O5" s="193"/>
      <c r="P5" s="193"/>
      <c r="Q5" s="193"/>
      <c r="R5" s="193"/>
      <c r="S5" s="194"/>
      <c r="AD5" s="157"/>
      <c r="AE5" s="157"/>
      <c r="AF5" s="157"/>
      <c r="AG5" s="157"/>
      <c r="AH5" s="157"/>
      <c r="AI5" s="157"/>
      <c r="AJ5" s="157"/>
      <c r="AK5" s="157"/>
      <c r="AL5" s="157"/>
      <c r="AM5" s="157"/>
    </row>
    <row r="6" spans="1:39" s="2" customFormat="1" ht="30" customHeight="1" x14ac:dyDescent="0.3">
      <c r="A6" s="186">
        <f t="shared" ref="A6:A11" si="3">A7+7</f>
        <v>46227</v>
      </c>
      <c r="B6" s="159">
        <f t="shared" ref="B6" si="4">YEAR(A6)</f>
        <v>2026</v>
      </c>
      <c r="C6" s="159">
        <f t="shared" ref="C6" si="5">MONTH(A6)</f>
        <v>7</v>
      </c>
      <c r="D6" s="189"/>
      <c r="E6" s="189"/>
      <c r="F6" s="187"/>
      <c r="G6" s="187"/>
      <c r="H6" s="187"/>
      <c r="I6" s="187"/>
      <c r="J6" s="187"/>
      <c r="K6" s="162"/>
      <c r="L6" s="214">
        <f xml:space="preserve"> 0.280558110643*L10 + 0.15041224611*L14 - 0.188812610795*Q10 + 0.259276330013*Q14 + 0.249001945549*P10 - 0.0911542671384*P14 - 11.8844751787*S10 + 5.64643067713*S14 + 0.185696475006*R10 + 0.247343345212*R14- 3.75210437468</f>
        <v>575.47341538412434</v>
      </c>
      <c r="M6" s="214">
        <f xml:space="preserve"> 0.080991528041*M10 + 0.303754553817*M14- 0.25338201366*Q10+ 0.269148503584*Q14 + 0.00378757678133*P10+ 0.43547234846*P14 - 12.2555082812*S10 + 15.7710625006*S14+ 0.517281394734*R10 - 0.299449478792*R14 - 3.00478655786</f>
        <v>454.39439323882135</v>
      </c>
      <c r="N6" s="214">
        <f>AVERAGE(D6:D9)</f>
        <v>474.21383299322997</v>
      </c>
      <c r="O6" s="214">
        <f>AVERAGE(E6:E9)</f>
        <v>474.38304755718235</v>
      </c>
      <c r="P6" s="214">
        <f>AVERAGE(H6:H9)</f>
        <v>392.5</v>
      </c>
      <c r="Q6" s="214">
        <f>AVERAGE(I6:I9)</f>
        <v>770</v>
      </c>
      <c r="R6" s="214">
        <f>AVERAGE(J6:J9)</f>
        <v>362</v>
      </c>
      <c r="S6" s="203">
        <f>AVERAGE(K6:K9)</f>
        <v>3.2389999999999999</v>
      </c>
      <c r="AD6" s="157"/>
      <c r="AE6" s="157"/>
      <c r="AF6" s="157"/>
      <c r="AG6" s="157"/>
      <c r="AH6" s="157"/>
      <c r="AI6" s="157"/>
      <c r="AJ6" s="157"/>
      <c r="AK6" s="157"/>
      <c r="AL6" s="157"/>
      <c r="AM6" s="157"/>
    </row>
    <row r="7" spans="1:39" s="2" customFormat="1" ht="15" customHeight="1" x14ac:dyDescent="0.3">
      <c r="A7" s="186">
        <f t="shared" si="3"/>
        <v>46220</v>
      </c>
      <c r="B7" s="159">
        <f t="shared" ref="B7:B23" si="6">YEAR(A7)</f>
        <v>2026</v>
      </c>
      <c r="C7" s="159">
        <f t="shared" ref="C7:C23" si="7">MONTH(A7)</f>
        <v>7</v>
      </c>
      <c r="D7" s="189">
        <f xml:space="preserve"> 0.280558110643*D8 + 0.15041224611*D9 - 0.188812610795*I8 + 0.259276330013*I9 + 0.249001945549*H8 - 0.0911542671384*H9 - 11.8844751787*K8 + 5.64643067713*K9 + 0.185696475006*J8 + 0.247343345212*J9- 3.75210437468</f>
        <v>471.35510200256886</v>
      </c>
      <c r="E7" s="189">
        <f xml:space="preserve"> 0.080991528041*E8 + 0.303754553817*E9- 0.25338201366*I8+ 0.269148503584*I9 + 0.00378757678133*H8+ 0.43547234846*H9 - 12.2555082812*K8 + 15.7710625006*K9+ 0.517281394734*J8 - 0.299449478792*J9 - 3.00478655786</f>
        <v>496.89491160010391</v>
      </c>
      <c r="F7" s="189"/>
      <c r="G7" s="189"/>
      <c r="H7" s="188"/>
      <c r="I7" s="188"/>
      <c r="J7" s="188"/>
      <c r="K7" s="173"/>
      <c r="L7" s="215"/>
      <c r="M7" s="215"/>
      <c r="N7" s="215"/>
      <c r="O7" s="215"/>
      <c r="P7" s="215"/>
      <c r="Q7" s="215"/>
      <c r="R7" s="215"/>
      <c r="S7" s="204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57"/>
    </row>
    <row r="8" spans="1:39" s="2" customFormat="1" ht="15" customHeight="1" x14ac:dyDescent="0.3">
      <c r="A8" s="186">
        <f t="shared" si="3"/>
        <v>46213</v>
      </c>
      <c r="B8" s="159">
        <f t="shared" si="6"/>
        <v>2026</v>
      </c>
      <c r="C8" s="159">
        <f t="shared" si="7"/>
        <v>7</v>
      </c>
      <c r="D8" s="189">
        <f xml:space="preserve"> 0.280558110643*D9 + 0.15041224611*D10 - 0.188812610795*I9 + 0.259276330013*I10 + 0.249001945549*H9 - 0.0911542671384*H10 - 11.8844751787*K9 + 5.64643067713*K10 + 0.185696475006*J9 + 0.247343345212*J10- 3.75210437468</f>
        <v>463.55893629318831</v>
      </c>
      <c r="E8" s="189">
        <f xml:space="preserve"> 0.080991528041*E9 + 0.303754553817*E10- 0.25338201366*I9+ 0.269148503584*I10 + 0.00378757678133*H9+ 0.43547234846*H10 - 12.2555082812*K9 + 15.7710625006*K10+ 0.517281394734*J9 - 0.299449478792*J10 - 3.00478655786</f>
        <v>459.24698146312392</v>
      </c>
      <c r="F8" s="189"/>
      <c r="G8" s="189"/>
      <c r="H8" s="188"/>
      <c r="I8" s="188"/>
      <c r="J8" s="188"/>
      <c r="K8" s="173"/>
      <c r="L8" s="215"/>
      <c r="M8" s="215"/>
      <c r="N8" s="215"/>
      <c r="O8" s="215"/>
      <c r="P8" s="215"/>
      <c r="Q8" s="215"/>
      <c r="R8" s="215"/>
      <c r="S8" s="204"/>
      <c r="AC8" s="197" t="s">
        <v>77</v>
      </c>
      <c r="AD8" s="197"/>
      <c r="AE8" s="197"/>
      <c r="AF8" s="197"/>
      <c r="AG8" s="197"/>
      <c r="AH8" s="197"/>
      <c r="AI8" s="197"/>
      <c r="AJ8" s="197"/>
      <c r="AK8" s="197"/>
      <c r="AL8" s="197"/>
      <c r="AM8" s="197"/>
    </row>
    <row r="9" spans="1:39" s="2" customFormat="1" ht="15" customHeight="1" x14ac:dyDescent="0.3">
      <c r="A9" s="186">
        <f t="shared" si="3"/>
        <v>46206</v>
      </c>
      <c r="B9" s="159">
        <f t="shared" si="6"/>
        <v>2026</v>
      </c>
      <c r="C9" s="159">
        <f t="shared" si="7"/>
        <v>7</v>
      </c>
      <c r="D9" s="195">
        <f xml:space="preserve"> 0.280558110643*D10 + 0.15041224611*D11 - 0.188812610795*I10 + 0.259276330013*I11 + 0.249001945549*H10 - 0.0911542671384*H11 - 11.8844751787*K10 + 5.64643067713*K11 + 0.185696475006*J10 + 0.247343345212*J11- 3.75210437468</f>
        <v>487.72746068393292</v>
      </c>
      <c r="E9" s="189">
        <f xml:space="preserve"> 0.080991528041*E10 + 0.303754553817*E11- 0.25338201366*I10+ 0.269148503584*I11 + 0.00378757678133*H10+ 0.43547234846*H11 - 12.2555082812*K10 + 15.7710625006*K11+ 0.517281394734*J10 - 0.299449478792*J11 - 3.00478655786</f>
        <v>467.00724960831923</v>
      </c>
      <c r="F9" s="189">
        <f xml:space="preserve"> 0.280558110643*F10 + 0.15041224611*F11 - 0.188812610795*I10 + 0.259276330013*I11 + 0.249001945549*H10 - 0.0911542671384*H11 - 11.8844751787*K10 + 5.64643067713*K11 + 0.185696475006*J10 + 0.247343345212*J11- 3.75210437468</f>
        <v>486.97291495378261</v>
      </c>
      <c r="G9" s="189">
        <f xml:space="preserve"> 0.080991528041*G10 + 0.303754553817*G11- 0.25338201366*I10+ 0.269148503584*I11 + 0.00378757678133*H10+ 0.43547234846*H11 - 12.2555082812*K10 + 15.7710625006*K11+ 0.517281394734*J10 - 0.299449478792*J11 - 3.00478655786</f>
        <v>465.98237394169342</v>
      </c>
      <c r="H9" s="188">
        <v>392.5</v>
      </c>
      <c r="I9" s="188">
        <v>770</v>
      </c>
      <c r="J9" s="188">
        <v>362</v>
      </c>
      <c r="K9" s="173">
        <v>3.2389999999999999</v>
      </c>
      <c r="L9" s="216"/>
      <c r="M9" s="216"/>
      <c r="N9" s="216"/>
      <c r="O9" s="216"/>
      <c r="P9" s="216"/>
      <c r="Q9" s="216"/>
      <c r="R9" s="216"/>
      <c r="S9" s="205"/>
      <c r="AC9" s="197"/>
      <c r="AD9" s="197"/>
      <c r="AE9" s="197"/>
      <c r="AF9" s="197"/>
      <c r="AG9" s="197"/>
      <c r="AH9" s="197"/>
      <c r="AI9" s="197"/>
      <c r="AJ9" s="197"/>
      <c r="AK9" s="197"/>
      <c r="AL9" s="197"/>
      <c r="AM9" s="197"/>
    </row>
    <row r="10" spans="1:39" s="2" customFormat="1" x14ac:dyDescent="0.3">
      <c r="A10" s="186">
        <f t="shared" si="3"/>
        <v>46199</v>
      </c>
      <c r="B10" s="159">
        <f t="shared" si="6"/>
        <v>2026</v>
      </c>
      <c r="C10" s="159">
        <f t="shared" si="7"/>
        <v>6</v>
      </c>
      <c r="D10" s="189">
        <f xml:space="preserve"> 0.280558110643*D11 + 0.15041224611*D12 - 0.188812610795*I11 + 0.259276330013*I12 + 0.249001945549*H11 - 0.0911542671384*H12 - 11.8844751787*K11 + 5.64643067713*K12 + 0.185696475006*J11 + 0.247343345212*J12- 3.75210437468</f>
        <v>516.63000485010696</v>
      </c>
      <c r="E10" s="189">
        <f xml:space="preserve"> 0.080991528041*E11 + 0.303754553817*E12- 0.25338201366*I11+ 0.269148503584*I12 + 0.00378757678133*H11+ 0.43547234846*H12 - 12.2555082812*K11 + 15.7710625006*K12+ 0.517281394734*J11 - 0.299449478792*J12 - 3.00478655786</f>
        <v>492.62269092692765</v>
      </c>
      <c r="F10" s="189">
        <f xml:space="preserve"> 0.280558110643*F11 + 0.15041224611*F12 - 0.188812610795*I11 + 0.259276330013*I12 + 0.249001945549*H11 - 0.0911542671384*H12 - 11.8844751787*K11 + 5.64643067713*K12 + 0.185696475006*J11 + 0.247343345212*J12- 3.75210437468</f>
        <v>515.26547941306501</v>
      </c>
      <c r="G10" s="189">
        <f xml:space="preserve"> 0.080991528041*G11 + 0.303754553817*G12- 0.25338201366*I11+ 0.269148503584*I12 + 0.00378757678133*H11+ 0.43547234846*H12 - 12.2555082812*K11 + 15.7710625006*K12+ 0.517281394734*J11 - 0.299449478792*J12 - 3.00478655786</f>
        <v>491.11496409923558</v>
      </c>
      <c r="H10" s="188">
        <v>392.5</v>
      </c>
      <c r="I10" s="188">
        <v>770</v>
      </c>
      <c r="J10" s="188">
        <v>362</v>
      </c>
      <c r="K10" s="173">
        <v>3.2389999999999999</v>
      </c>
      <c r="L10" s="214">
        <f xml:space="preserve"> 0.280558110643*L14 + 0.15041224611*L19 - 0.188812610795*Q14 + 0.259276330013*Q19 + 0.249001945549*P14 - 0.0911542671384*P19 - 11.8844751787*S14 + 5.64643067713*S19 + 0.185696475006*R14 + 0.247343345212*R19- 3.75210437468</f>
        <v>619.00914504317927</v>
      </c>
      <c r="M10" s="214">
        <f xml:space="preserve"> 0.080991528041*M14 + 0.303754553817*M19- 0.25338201366*Q14+ 0.269148503584*Q19 + 0.00378757678133*P14+ 0.43547234846*P19 - 12.2555082812*S14 + 15.7710625006*S19+ 0.517281394734*R14 - 0.299449478792*R19 - 3.00478655786</f>
        <v>497.71710129586933</v>
      </c>
      <c r="N10" s="214">
        <f>AVERAGE(D10:D13)</f>
        <v>576.50332659185369</v>
      </c>
      <c r="O10" s="214">
        <f>AVERAGE(E10:E13)</f>
        <v>519.49286460275016</v>
      </c>
      <c r="P10" s="214">
        <f>AVERAGE(H10:H13)</f>
        <v>417.5</v>
      </c>
      <c r="Q10" s="214">
        <f>AVERAGE(I10:I13)</f>
        <v>790</v>
      </c>
      <c r="R10" s="214">
        <f>AVERAGE(J10:J13)</f>
        <v>406.125</v>
      </c>
      <c r="S10" s="203">
        <f>AVERAGE(K10:K13)</f>
        <v>3.1972500000000004</v>
      </c>
      <c r="AC10" s="197"/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</row>
    <row r="11" spans="1:39" s="2" customFormat="1" x14ac:dyDescent="0.3">
      <c r="A11" s="186">
        <f t="shared" si="3"/>
        <v>46192</v>
      </c>
      <c r="B11" s="159">
        <f t="shared" si="6"/>
        <v>2026</v>
      </c>
      <c r="C11" s="159">
        <f t="shared" si="7"/>
        <v>6</v>
      </c>
      <c r="D11" s="189">
        <f xml:space="preserve"> 0.280558110643*D12 + 0.15041224611*D13 - 0.188812610795*I12 + 0.259276330013*I13 + 0.249001945549*H12 - 0.0911542671384*H13 - 11.8844751787*K12 + 5.64643067713*K13 + 0.185696475006*J12 + 0.247343345212*J13- 3.75210437468</f>
        <v>551.6494672430706</v>
      </c>
      <c r="E11" s="189">
        <f xml:space="preserve"> 0.080991528041*E12 + 0.303754553817*E13- 0.25338201366*I12+ 0.269148503584*I13 + 0.00378757678133*H12+ 0.43547234846*H13 - 12.2555082812*K12 + 15.7710625006*K13+ 0.517281394734*J12 - 0.299449478792*J13 - 3.00478655786</f>
        <v>492.85468906475484</v>
      </c>
      <c r="F11" s="189">
        <f t="shared" ref="F11:F17" si="8" xml:space="preserve"> 0.280558110643*F12 + 0.15041224611*F13 - 0.188812610795*I12 + 0.259276330013*I13 + 0.249001945549*H12 - 0.0911542671384*H13 - 11.8844751787*K12 + 5.64643067713*K13 + 0.185696475006*J12 + 0.247343345212*J13- 3.75210437468</f>
        <v>549.1781455174596</v>
      </c>
      <c r="G11" s="189">
        <f t="shared" ref="G11:G17" si="9" xml:space="preserve"> 0.080991528041*G12 + 0.303754553817*G13- 0.25338201366*I12+ 0.269148503584*I13 + 0.00378757678133*H12+ 0.43547234846*H13 - 12.2555082812*K12 + 15.7710625006*K13+ 0.517281394734*J12 - 0.299449478792*J13 - 3.00478655786</f>
        <v>489.88267578746144</v>
      </c>
      <c r="H11" s="188">
        <v>417.5</v>
      </c>
      <c r="I11" s="188">
        <v>790</v>
      </c>
      <c r="J11" s="188">
        <v>395</v>
      </c>
      <c r="K11" s="173">
        <v>3.19</v>
      </c>
      <c r="L11" s="215"/>
      <c r="M11" s="215"/>
      <c r="N11" s="215"/>
      <c r="O11" s="215"/>
      <c r="P11" s="215"/>
      <c r="Q11" s="215"/>
      <c r="R11" s="215"/>
      <c r="S11" s="204"/>
      <c r="AC11" s="197"/>
      <c r="AD11" s="197"/>
      <c r="AE11" s="197"/>
      <c r="AF11" s="197"/>
      <c r="AG11" s="197"/>
      <c r="AH11" s="197"/>
      <c r="AI11" s="197"/>
      <c r="AJ11" s="197"/>
      <c r="AK11" s="197"/>
      <c r="AL11" s="197"/>
      <c r="AM11" s="197"/>
    </row>
    <row r="12" spans="1:39" s="2" customFormat="1" x14ac:dyDescent="0.3">
      <c r="A12" s="186">
        <f>A13+7</f>
        <v>46185</v>
      </c>
      <c r="B12" s="159">
        <f t="shared" si="6"/>
        <v>2026</v>
      </c>
      <c r="C12" s="159">
        <f t="shared" si="7"/>
        <v>6</v>
      </c>
      <c r="D12" s="189">
        <f t="shared" ref="D12:D17" si="10" xml:space="preserve"> 0.280558110643*D13 + 0.15041224611*D14 - 0.188812610795*I13 + 0.259276330013*I14 + 0.249001945549*H13 - 0.0911542671384*H14 - 11.8844751787*K13 + 5.64643067713*K14 + 0.185696475006*J13 + 0.247343345212*J14- 3.75210437468</f>
        <v>601.85498376147859</v>
      </c>
      <c r="E12" s="189">
        <f t="shared" ref="E12:E20" si="11" xml:space="preserve"> 0.080991528041*E13 + 0.303754553817*E14- 0.25338201366*I13+ 0.269148503584*I14 + 0.00378757678133*H13+ 0.43547234846*H14 - 12.2555082812*K13 + 15.7710625006*K14+ 0.517281394734*J13 - 0.299449478792*J14 - 3.00478655786</f>
        <v>528.53531898315475</v>
      </c>
      <c r="F12" s="189">
        <f t="shared" si="8"/>
        <v>597.3927401591676</v>
      </c>
      <c r="G12" s="189">
        <f t="shared" si="9"/>
        <v>524.36412577770454</v>
      </c>
      <c r="H12" s="188">
        <v>417.5</v>
      </c>
      <c r="I12" s="188">
        <v>800</v>
      </c>
      <c r="J12" s="188">
        <v>395</v>
      </c>
      <c r="K12" s="173">
        <v>3.15</v>
      </c>
      <c r="L12" s="215"/>
      <c r="M12" s="215"/>
      <c r="N12" s="215"/>
      <c r="O12" s="215"/>
      <c r="P12" s="215"/>
      <c r="Q12" s="215"/>
      <c r="R12" s="215"/>
      <c r="S12" s="204"/>
      <c r="AC12" s="197"/>
      <c r="AD12" s="197"/>
      <c r="AE12" s="197"/>
      <c r="AF12" s="197"/>
      <c r="AG12" s="197"/>
      <c r="AH12" s="197"/>
      <c r="AI12" s="197"/>
      <c r="AJ12" s="197"/>
      <c r="AK12" s="197"/>
      <c r="AL12" s="197"/>
      <c r="AM12" s="197"/>
    </row>
    <row r="13" spans="1:39" s="2" customFormat="1" x14ac:dyDescent="0.3">
      <c r="A13" s="186">
        <v>46178</v>
      </c>
      <c r="B13" s="159">
        <f t="shared" si="6"/>
        <v>2026</v>
      </c>
      <c r="C13" s="159">
        <f t="shared" si="7"/>
        <v>6</v>
      </c>
      <c r="D13" s="189">
        <f xml:space="preserve"> 0.280558110643*D14 + 0.15041224611*D15 - 0.188812610795*I14 + 0.259276330013*I15 + 0.249001945549*H14 - 0.0911542671384*H15 - 11.8844751787*K14 + 5.64643067713*K15 + 0.185696475006*J14 + 0.247343345212*J15- 3.75210437468</f>
        <v>635.87885051275873</v>
      </c>
      <c r="E13" s="189">
        <f t="shared" si="11"/>
        <v>563.95875943616306</v>
      </c>
      <c r="F13" s="189">
        <f t="shared" si="8"/>
        <v>627.77177729994276</v>
      </c>
      <c r="G13" s="189">
        <f t="shared" si="9"/>
        <v>555.28668544507832</v>
      </c>
      <c r="H13" s="188">
        <v>442.5</v>
      </c>
      <c r="I13" s="188">
        <v>800</v>
      </c>
      <c r="J13" s="188">
        <v>472.5</v>
      </c>
      <c r="K13" s="173">
        <v>3.21</v>
      </c>
      <c r="L13" s="216"/>
      <c r="M13" s="216"/>
      <c r="N13" s="216"/>
      <c r="O13" s="216"/>
      <c r="P13" s="216"/>
      <c r="Q13" s="216"/>
      <c r="R13" s="216"/>
      <c r="S13" s="205"/>
      <c r="AC13" s="197"/>
      <c r="AD13" s="197"/>
      <c r="AE13" s="197"/>
      <c r="AF13" s="197"/>
      <c r="AG13" s="197"/>
      <c r="AH13" s="197"/>
      <c r="AI13" s="197"/>
      <c r="AJ13" s="197"/>
      <c r="AK13" s="197"/>
      <c r="AL13" s="197"/>
      <c r="AM13" s="197"/>
    </row>
    <row r="14" spans="1:39" s="2" customFormat="1" x14ac:dyDescent="0.3">
      <c r="A14" s="186">
        <v>46171</v>
      </c>
      <c r="B14" s="159">
        <f t="shared" si="6"/>
        <v>2026</v>
      </c>
      <c r="C14" s="159">
        <f t="shared" si="7"/>
        <v>5</v>
      </c>
      <c r="D14" s="189">
        <f t="shared" si="10"/>
        <v>676.56177119017377</v>
      </c>
      <c r="E14" s="189">
        <f t="shared" si="11"/>
        <v>587.08609693891356</v>
      </c>
      <c r="F14" s="189">
        <f t="shared" si="8"/>
        <v>662.01682212213825</v>
      </c>
      <c r="G14" s="189">
        <f t="shared" si="9"/>
        <v>575.66625602447118</v>
      </c>
      <c r="H14" s="188">
        <v>467.5</v>
      </c>
      <c r="I14" s="188">
        <v>800</v>
      </c>
      <c r="J14" s="188">
        <v>545</v>
      </c>
      <c r="K14" s="173">
        <v>3.03</v>
      </c>
      <c r="L14" s="214">
        <f xml:space="preserve"> 0.280558110643*L19 + 0.15041224611*L23 - 0.188812610795*Q19 + 0.259276330013*Q23 + 0.249001945549*P19 - 0.0911542671384*P23 - 11.8844751787*S19 + 5.64643067713*S23 + 0.185696475006*R19 + 0.247343345212*R23- 3.75210437468</f>
        <v>579.3358107808657</v>
      </c>
      <c r="M14" s="214">
        <f xml:space="preserve"> 0.080991528041*M19 + 0.303754553817*M23- 0.25338201366*Q19+ 0.269148503584*Q23 + 0.00378757678133*P19+ 0.43547234846*P23 - 12.2555082812*S19 + 15.7710625006*S23+ 0.517281394734*R19 - 0.299449478792*R23 - 3.00478655786</f>
        <v>543.2326562510101</v>
      </c>
      <c r="N14" s="214">
        <f>AVERAGEA(D14:D18)</f>
        <v>708.97426301555095</v>
      </c>
      <c r="O14" s="214">
        <f>AVERAGEA(E14:E18)</f>
        <v>603.80601585533589</v>
      </c>
      <c r="P14" s="214">
        <f>AVERAGEA(H14:H18)</f>
        <v>495.5</v>
      </c>
      <c r="Q14" s="214">
        <f>AVERAGEA(I14:I18)</f>
        <v>770</v>
      </c>
      <c r="R14" s="214">
        <f>AVERAGEA(J14:J18)</f>
        <v>629</v>
      </c>
      <c r="S14" s="203">
        <f>AVERAGEA(K14:K18)</f>
        <v>2.8600000000000003</v>
      </c>
      <c r="AC14" s="197"/>
      <c r="AD14" s="197"/>
      <c r="AE14" s="197"/>
      <c r="AF14" s="197"/>
      <c r="AG14" s="197"/>
      <c r="AH14" s="197"/>
      <c r="AI14" s="197"/>
      <c r="AJ14" s="197"/>
      <c r="AK14" s="197"/>
      <c r="AL14" s="197"/>
      <c r="AM14" s="197"/>
    </row>
    <row r="15" spans="1:39" s="2" customFormat="1" x14ac:dyDescent="0.3">
      <c r="A15" s="186">
        <v>46164</v>
      </c>
      <c r="B15" s="159">
        <f t="shared" si="6"/>
        <v>2026</v>
      </c>
      <c r="C15" s="159">
        <f t="shared" si="7"/>
        <v>5</v>
      </c>
      <c r="D15" s="189">
        <f t="shared" si="10"/>
        <v>704.81186259203218</v>
      </c>
      <c r="E15" s="189">
        <f t="shared" si="11"/>
        <v>590.62192429174218</v>
      </c>
      <c r="F15" s="189">
        <f t="shared" si="8"/>
        <v>678.04296652791288</v>
      </c>
      <c r="G15" s="189">
        <f t="shared" si="9"/>
        <v>565.11724122415478</v>
      </c>
      <c r="H15" s="188">
        <v>500</v>
      </c>
      <c r="I15" s="188">
        <v>762.5</v>
      </c>
      <c r="J15" s="188">
        <v>582.5</v>
      </c>
      <c r="K15" s="173">
        <v>3.02</v>
      </c>
      <c r="L15" s="215"/>
      <c r="M15" s="215"/>
      <c r="N15" s="215"/>
      <c r="O15" s="215"/>
      <c r="P15" s="215"/>
      <c r="Q15" s="215"/>
      <c r="R15" s="215"/>
      <c r="S15" s="204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</row>
    <row r="16" spans="1:39" s="2" customFormat="1" x14ac:dyDescent="0.3">
      <c r="A16" s="186">
        <v>46157</v>
      </c>
      <c r="B16" s="159">
        <f t="shared" si="6"/>
        <v>2026</v>
      </c>
      <c r="C16" s="159">
        <f t="shared" si="7"/>
        <v>5</v>
      </c>
      <c r="D16" s="189">
        <f xml:space="preserve"> 0.280558110643*D17 + 0.15041224611*D18 - 0.188812610795*I17 + 0.259276330013*I18 + 0.249001945549*H17 - 0.0911542671384*H18 - 11.8844751787*K17 + 5.64643067713*K18 + 0.185696475006*J17 + 0.247343345212*J18- 3.75210437468</f>
        <v>723.45732473872306</v>
      </c>
      <c r="E16" s="189">
        <f t="shared" si="11"/>
        <v>613.19689015226618</v>
      </c>
      <c r="F16" s="189">
        <f t="shared" si="8"/>
        <v>676.68774083700566</v>
      </c>
      <c r="G16" s="189">
        <f t="shared" si="9"/>
        <v>582.40170521412495</v>
      </c>
      <c r="H16" s="188">
        <v>500</v>
      </c>
      <c r="I16" s="188">
        <v>762.5</v>
      </c>
      <c r="J16" s="188">
        <v>617.5</v>
      </c>
      <c r="K16" s="173">
        <v>2.85</v>
      </c>
      <c r="L16" s="215"/>
      <c r="M16" s="215"/>
      <c r="N16" s="215"/>
      <c r="O16" s="215"/>
      <c r="P16" s="215"/>
      <c r="Q16" s="215"/>
      <c r="R16" s="215"/>
      <c r="S16" s="204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</row>
    <row r="17" spans="1:46" s="2" customFormat="1" x14ac:dyDescent="0.3">
      <c r="A17" s="186">
        <v>46150</v>
      </c>
      <c r="B17" s="159">
        <f t="shared" si="6"/>
        <v>2026</v>
      </c>
      <c r="C17" s="159">
        <f t="shared" si="7"/>
        <v>5</v>
      </c>
      <c r="D17" s="189">
        <f t="shared" si="10"/>
        <v>715.21788103732672</v>
      </c>
      <c r="E17" s="189">
        <f t="shared" si="11"/>
        <v>619.54952255262185</v>
      </c>
      <c r="F17" s="189">
        <f t="shared" si="8"/>
        <v>624.4851759415352</v>
      </c>
      <c r="G17" s="189">
        <f t="shared" si="9"/>
        <v>543.79581386252846</v>
      </c>
      <c r="H17" s="188">
        <v>500</v>
      </c>
      <c r="I17" s="188">
        <v>762.5</v>
      </c>
      <c r="J17" s="188">
        <v>682.5</v>
      </c>
      <c r="K17" s="173">
        <v>2.79</v>
      </c>
      <c r="L17" s="215"/>
      <c r="M17" s="215"/>
      <c r="N17" s="215"/>
      <c r="O17" s="215"/>
      <c r="P17" s="215"/>
      <c r="Q17" s="215"/>
      <c r="R17" s="215"/>
      <c r="S17" s="204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</row>
    <row r="18" spans="1:46" s="2" customFormat="1" x14ac:dyDescent="0.3">
      <c r="A18" s="186">
        <v>46143</v>
      </c>
      <c r="B18" s="159">
        <f t="shared" si="6"/>
        <v>2026</v>
      </c>
      <c r="C18" s="159">
        <f t="shared" si="7"/>
        <v>5</v>
      </c>
      <c r="D18" s="189">
        <f t="shared" ref="D18:D23" si="12" xml:space="preserve"> 0.280558110643*D19 + 0.15041224611*D20 - 0.188812610795*I19 + 0.259276330013*I20 + 0.249001945549*H19 - 0.0911542671384*H20 - 11.8844751787*K19 + 5.64643067713*K20 + 0.185696475006*J19 + 0.247343345212*J20- 3.75210437468</f>
        <v>724.82247551949933</v>
      </c>
      <c r="E18" s="189">
        <f xml:space="preserve"> 0.080991528041*E19 + 0.303754553817*E20- 0.25338201366*I19+ 0.269148503584*I20 + 0.00378757678133*H19+ 0.43547234846*H20 - 12.2555082812*K19 + 15.7710625006*K20+ 0.517281394734*J19 - 0.299449478792*J20 - 3.00478655786</f>
        <v>608.57564534113521</v>
      </c>
      <c r="F18" s="189">
        <f xml:space="preserve"> 0.280558110643*F19 + 0.15041224611*F20 - 0.188812610795*I19 + 0.259276330013*I20 + 0.249001945549*H19 - 0.0911542671384*H20 - 11.8844751787*K19 + 5.64643067713*K20 + 0.185696475006*J19 + 0.247343345212*J20- 3.75210437468</f>
        <v>583.12000023749135</v>
      </c>
      <c r="G18" s="189">
        <f xml:space="preserve"> 0.080991528041*G19 + 0.303754553817*G20- 0.25338201366*I19+ 0.269148503584*I20 + 0.00378757678133*H19+ 0.43547234846*H20 - 12.2555082812*K19 + 15.7710625006*K20+ 0.517281394734*J19 - 0.299449478792*J20 - 3.00478655786</f>
        <v>527.39241366055171</v>
      </c>
      <c r="H18" s="188">
        <v>510</v>
      </c>
      <c r="I18" s="188">
        <v>762.5</v>
      </c>
      <c r="J18" s="188">
        <v>717.5</v>
      </c>
      <c r="K18" s="173">
        <v>2.61</v>
      </c>
      <c r="L18" s="216"/>
      <c r="M18" s="216"/>
      <c r="N18" s="216"/>
      <c r="O18" s="216"/>
      <c r="P18" s="216"/>
      <c r="Q18" s="216"/>
      <c r="R18" s="216"/>
      <c r="S18" s="205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</row>
    <row r="19" spans="1:46" s="2" customFormat="1" x14ac:dyDescent="0.3">
      <c r="A19" s="169">
        <f t="shared" ref="A19:A22" si="13">A20+7</f>
        <v>46136</v>
      </c>
      <c r="B19" s="159">
        <f t="shared" si="6"/>
        <v>2026</v>
      </c>
      <c r="C19" s="159">
        <f t="shared" si="7"/>
        <v>4</v>
      </c>
      <c r="D19" s="189">
        <f t="shared" si="12"/>
        <v>699.91473384390645</v>
      </c>
      <c r="E19" s="189">
        <f t="shared" si="11"/>
        <v>577.74491389733612</v>
      </c>
      <c r="F19" s="189">
        <v>361</v>
      </c>
      <c r="G19" s="189">
        <v>350</v>
      </c>
      <c r="H19" s="143">
        <v>537.5</v>
      </c>
      <c r="I19" s="188">
        <v>700</v>
      </c>
      <c r="J19" s="188">
        <v>717.5</v>
      </c>
      <c r="K19" s="173">
        <v>2.68</v>
      </c>
      <c r="L19" s="214">
        <f xml:space="preserve"> 0.280558110643*L23 + 0.15041224611*L27 - 0.188812610795*Q23 + 0.259276330013*Q27 + 0.249001945549*P23 - 0.0911542671384*P27 - 11.8844751787*S23 + 5.64643067713*S27 + 0.185696475006*R23 + 0.247343345212*R27- 3.75210437468</f>
        <v>479.36764507927609</v>
      </c>
      <c r="M19" s="214">
        <f xml:space="preserve"> 0.080991528041*M23 + 0.303754553817*M27- 0.25338201366*Q23+ 0.269148503584*Q27 + 0.00378757678133*P23+ 0.43547234846*P27 - 12.2555082812*S23 + 15.7710625006*S27+ 0.517281394734*R23 - 0.299449478792*R27 - 3.00478655786</f>
        <v>468.04211849125738</v>
      </c>
      <c r="N19" s="214">
        <f>AVERAGE(D19:D22)</f>
        <v>643.94009610117746</v>
      </c>
      <c r="O19" s="214">
        <f>AVERAGE(E19:E22)</f>
        <v>552.16517338055814</v>
      </c>
      <c r="P19" s="214">
        <f>AVERAGE(H19:H22)</f>
        <v>473.125</v>
      </c>
      <c r="Q19" s="214">
        <f>AVERAGE(I19:I22)</f>
        <v>683.125</v>
      </c>
      <c r="R19" s="214">
        <f>AVERAGE(J19:J22)</f>
        <v>719.375</v>
      </c>
      <c r="S19" s="203">
        <f>AVERAGE(K19:K22)</f>
        <v>2.7255250000000002</v>
      </c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</row>
    <row r="20" spans="1:46" s="2" customFormat="1" x14ac:dyDescent="0.3">
      <c r="A20" s="169">
        <f t="shared" si="13"/>
        <v>46129</v>
      </c>
      <c r="B20" s="159">
        <f t="shared" si="6"/>
        <v>2026</v>
      </c>
      <c r="C20" s="159">
        <f t="shared" si="7"/>
        <v>4</v>
      </c>
      <c r="D20" s="189">
        <f t="shared" si="12"/>
        <v>670.92953759625459</v>
      </c>
      <c r="E20" s="189">
        <f t="shared" si="11"/>
        <v>556.54117711851416</v>
      </c>
      <c r="F20" s="189">
        <v>361</v>
      </c>
      <c r="G20" s="189">
        <v>350</v>
      </c>
      <c r="H20" s="188">
        <v>500</v>
      </c>
      <c r="I20" s="188">
        <v>700</v>
      </c>
      <c r="J20" s="188">
        <v>717.5</v>
      </c>
      <c r="K20" s="173">
        <v>2.63</v>
      </c>
      <c r="L20" s="215"/>
      <c r="M20" s="215"/>
      <c r="N20" s="215"/>
      <c r="O20" s="215"/>
      <c r="P20" s="215"/>
      <c r="Q20" s="215"/>
      <c r="R20" s="215"/>
      <c r="S20" s="204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</row>
    <row r="21" spans="1:46" x14ac:dyDescent="0.3">
      <c r="A21" s="169">
        <f t="shared" si="13"/>
        <v>46122</v>
      </c>
      <c r="B21" s="159">
        <f t="shared" si="6"/>
        <v>2026</v>
      </c>
      <c r="C21" s="159">
        <f t="shared" si="7"/>
        <v>4</v>
      </c>
      <c r="D21" s="189">
        <f t="shared" si="12"/>
        <v>620.35437109955581</v>
      </c>
      <c r="E21" s="189">
        <f xml:space="preserve"> 0.080991528041*E22 + 0.303754553817*E23- 0.25338201366*I22+ 0.269148503584*I23 + 0.00378757678133*H22+ 0.43547234846*H23 - 12.2555082812*K22 + 15.7710625006*K23+ 0.517281394734*J22 - 0.299449478792*J23 - 3.00478655786</f>
        <v>570.72542524156813</v>
      </c>
      <c r="F21" s="189">
        <v>361</v>
      </c>
      <c r="G21" s="189">
        <v>350</v>
      </c>
      <c r="H21" s="189">
        <v>440</v>
      </c>
      <c r="I21" s="189">
        <v>670</v>
      </c>
      <c r="J21" s="189">
        <v>722.5</v>
      </c>
      <c r="K21" s="174">
        <v>2.7446000000000002</v>
      </c>
      <c r="L21" s="215"/>
      <c r="M21" s="215"/>
      <c r="N21" s="215"/>
      <c r="O21" s="215"/>
      <c r="P21" s="215"/>
      <c r="Q21" s="215"/>
      <c r="R21" s="215"/>
      <c r="S21" s="204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</row>
    <row r="22" spans="1:46" x14ac:dyDescent="0.3">
      <c r="A22" s="169">
        <f t="shared" si="13"/>
        <v>46115</v>
      </c>
      <c r="B22" s="159">
        <f t="shared" si="6"/>
        <v>2026</v>
      </c>
      <c r="C22" s="159">
        <f t="shared" si="7"/>
        <v>4</v>
      </c>
      <c r="D22" s="189">
        <f t="shared" si="12"/>
        <v>584.56174186499288</v>
      </c>
      <c r="E22" s="189">
        <f xml:space="preserve"> 0.080991528041*E23 + 0.303754553817*E24- 0.25338201366*I23+ 0.269148503584*I24 + 0.00378757678133*H23+ 0.43547234846*H24 - 12.2555082812*K23 + 15.7710625006*K24+ 0.517281394734*J23 - 0.299449478792*J24 - 3.00478655786</f>
        <v>503.64917726481434</v>
      </c>
      <c r="F22" s="189">
        <v>361</v>
      </c>
      <c r="G22" s="189">
        <v>350</v>
      </c>
      <c r="H22" s="189">
        <v>415</v>
      </c>
      <c r="I22" s="189">
        <v>662.5</v>
      </c>
      <c r="J22" s="189">
        <v>720</v>
      </c>
      <c r="K22" s="174">
        <v>2.8475000000000001</v>
      </c>
      <c r="L22" s="216"/>
      <c r="M22" s="216"/>
      <c r="N22" s="216"/>
      <c r="O22" s="216"/>
      <c r="P22" s="216"/>
      <c r="Q22" s="216"/>
      <c r="R22" s="216"/>
      <c r="S22" s="205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</row>
    <row r="23" spans="1:46" x14ac:dyDescent="0.3">
      <c r="A23" s="169">
        <f>A24+7</f>
        <v>46108</v>
      </c>
      <c r="B23" s="159">
        <f t="shared" si="6"/>
        <v>2026</v>
      </c>
      <c r="C23" s="159">
        <f t="shared" si="7"/>
        <v>3</v>
      </c>
      <c r="D23" s="189">
        <f t="shared" si="12"/>
        <v>561.97509968076599</v>
      </c>
      <c r="E23" s="189">
        <f xml:space="preserve"> 0.080991528041*E24 + 0.303754553817*E25- 0.25338201366*I24+ 0.269148503584*I25 + 0.00378757678133*H24+ 0.43547234846*H25 - 12.2555082812*K24 + 15.7710625006*K25+ 0.517281394734*J24 - 0.299449478792*J25 - 3.00478655786</f>
        <v>510.99107050970889</v>
      </c>
      <c r="F23" s="190">
        <v>358</v>
      </c>
      <c r="G23" s="190">
        <v>332</v>
      </c>
      <c r="H23" s="189">
        <v>415</v>
      </c>
      <c r="I23" s="189">
        <v>625</v>
      </c>
      <c r="J23" s="189">
        <v>632.5</v>
      </c>
      <c r="K23" s="174">
        <v>2.976</v>
      </c>
      <c r="L23" s="217">
        <f>AVERAGE(D23:D26)</f>
        <v>511.74377492019153</v>
      </c>
      <c r="M23" s="217">
        <f>AVERAGE(E23:E26)</f>
        <v>476.49776762742721</v>
      </c>
      <c r="N23" s="217">
        <f>AVERAGE(D23:D26)</f>
        <v>511.74377492019153</v>
      </c>
      <c r="O23" s="217">
        <f>AVERAGE(E23:E26)</f>
        <v>476.49776762742721</v>
      </c>
      <c r="P23" s="217">
        <f>AVERAGE(H23:H26)</f>
        <v>395</v>
      </c>
      <c r="Q23" s="217">
        <f>AVERAGE(I23:I26)</f>
        <v>582.5</v>
      </c>
      <c r="R23" s="217">
        <f>AVERAGE(J23:J26)</f>
        <v>603.75</v>
      </c>
      <c r="S23" s="200">
        <f>AVERAGE(K23:K26)</f>
        <v>3.0547500000000003</v>
      </c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</row>
    <row r="24" spans="1:46" x14ac:dyDescent="0.3">
      <c r="A24" s="169">
        <v>46101</v>
      </c>
      <c r="B24" s="159">
        <f>YEAR(A24)</f>
        <v>2026</v>
      </c>
      <c r="C24" s="159">
        <f>MONTH(A24)</f>
        <v>3</v>
      </c>
      <c r="D24" s="190">
        <v>495</v>
      </c>
      <c r="E24" s="190">
        <v>465</v>
      </c>
      <c r="F24" s="190">
        <v>358</v>
      </c>
      <c r="G24" s="190">
        <v>332</v>
      </c>
      <c r="H24" s="190">
        <v>415</v>
      </c>
      <c r="I24" s="190">
        <v>575</v>
      </c>
      <c r="J24" s="190">
        <v>647.5</v>
      </c>
      <c r="K24" s="170">
        <v>3.0764</v>
      </c>
      <c r="L24" s="218"/>
      <c r="M24" s="218"/>
      <c r="N24" s="218"/>
      <c r="O24" s="218"/>
      <c r="P24" s="218"/>
      <c r="Q24" s="218"/>
      <c r="R24" s="218"/>
      <c r="S24" s="201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</row>
    <row r="25" spans="1:46" x14ac:dyDescent="0.3">
      <c r="A25" s="169">
        <v>46094</v>
      </c>
      <c r="B25" s="159">
        <f t="shared" ref="B25:B88" si="14">YEAR(A25)</f>
        <v>2026</v>
      </c>
      <c r="C25" s="159">
        <f t="shared" ref="C25:C88" si="15">MONTH(A25)</f>
        <v>3</v>
      </c>
      <c r="D25" s="190">
        <v>495</v>
      </c>
      <c r="E25" s="190">
        <v>465</v>
      </c>
      <c r="F25" s="190">
        <v>358</v>
      </c>
      <c r="G25" s="190">
        <v>332</v>
      </c>
      <c r="H25" s="190">
        <v>375</v>
      </c>
      <c r="I25" s="190">
        <v>550</v>
      </c>
      <c r="J25" s="190">
        <v>597.5</v>
      </c>
      <c r="K25" s="170">
        <v>3.1426000000000003</v>
      </c>
      <c r="L25" s="218"/>
      <c r="M25" s="218"/>
      <c r="N25" s="218"/>
      <c r="O25" s="218"/>
      <c r="P25" s="218"/>
      <c r="Q25" s="218"/>
      <c r="R25" s="218"/>
      <c r="S25" s="201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</row>
    <row r="26" spans="1:46" x14ac:dyDescent="0.3">
      <c r="A26" s="169">
        <v>46087</v>
      </c>
      <c r="B26" s="159">
        <f t="shared" si="14"/>
        <v>2026</v>
      </c>
      <c r="C26" s="159">
        <f t="shared" si="15"/>
        <v>3</v>
      </c>
      <c r="D26" s="190">
        <v>495</v>
      </c>
      <c r="E26" s="190">
        <v>465</v>
      </c>
      <c r="F26" s="190">
        <v>358</v>
      </c>
      <c r="G26" s="190">
        <v>332</v>
      </c>
      <c r="H26" s="190">
        <v>375</v>
      </c>
      <c r="I26" s="190">
        <v>580</v>
      </c>
      <c r="J26" s="190">
        <v>537.5</v>
      </c>
      <c r="K26" s="170">
        <v>3.024</v>
      </c>
      <c r="L26" s="219"/>
      <c r="M26" s="219"/>
      <c r="N26" s="219"/>
      <c r="O26" s="219"/>
      <c r="P26" s="219"/>
      <c r="Q26" s="219"/>
      <c r="R26" s="219"/>
      <c r="S26" s="202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/>
      <c r="AM26" s="157"/>
    </row>
    <row r="27" spans="1:46" x14ac:dyDescent="0.3">
      <c r="A27" s="169">
        <v>46080</v>
      </c>
      <c r="B27" s="159">
        <f t="shared" si="14"/>
        <v>2026</v>
      </c>
      <c r="C27" s="159">
        <f t="shared" si="15"/>
        <v>2</v>
      </c>
      <c r="D27" s="190">
        <f>AVERAGEIFS(data!G:G,data!A:A,'monthly-forecast'!B27,data!B:B,'monthly-forecast'!C27)</f>
        <v>364</v>
      </c>
      <c r="E27" s="190">
        <f>AVERAGEIFS(data!F:F,data!A:A,'monthly-forecast'!B27,data!B:B,'monthly-forecast'!C27)</f>
        <v>348</v>
      </c>
      <c r="F27" s="190">
        <f t="shared" ref="F27:F88" si="16">D27</f>
        <v>364</v>
      </c>
      <c r="G27" s="190">
        <f t="shared" ref="G27:G88" si="17">E27</f>
        <v>348</v>
      </c>
      <c r="H27" s="190">
        <v>330</v>
      </c>
      <c r="I27" s="190">
        <v>480</v>
      </c>
      <c r="J27" s="190">
        <v>441.5</v>
      </c>
      <c r="K27" s="170">
        <v>2.911</v>
      </c>
      <c r="L27" s="217">
        <f>AVERAGE(D27:D30)</f>
        <v>364</v>
      </c>
      <c r="M27" s="217">
        <f>AVERAGE(E27:E30)</f>
        <v>348</v>
      </c>
      <c r="N27" s="217">
        <f>AVERAGE(D27:D30)</f>
        <v>364</v>
      </c>
      <c r="O27" s="217">
        <f>AVERAGE(E27:E30)</f>
        <v>348</v>
      </c>
      <c r="P27" s="217">
        <f>AVERAGE(H27:H30)</f>
        <v>328.125</v>
      </c>
      <c r="Q27" s="217">
        <f>AVERAGE(I27:I30)</f>
        <v>493.125</v>
      </c>
      <c r="R27" s="217">
        <f>AVERAGE(J27:J30)</f>
        <v>424.375</v>
      </c>
      <c r="S27" s="200">
        <f>AVERAGE(K27:K30)</f>
        <v>3.1349499999999999</v>
      </c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</row>
    <row r="28" spans="1:46" x14ac:dyDescent="0.3">
      <c r="A28" s="169">
        <v>46073</v>
      </c>
      <c r="B28" s="159">
        <f t="shared" si="14"/>
        <v>2026</v>
      </c>
      <c r="C28" s="159">
        <f t="shared" si="15"/>
        <v>2</v>
      </c>
      <c r="D28" s="190">
        <f>AVERAGEIFS(data!G:G,data!A:A,'monthly-forecast'!B28,data!B:B,'monthly-forecast'!C28)</f>
        <v>364</v>
      </c>
      <c r="E28" s="190">
        <f>AVERAGEIFS(data!F:F,data!A:A,'monthly-forecast'!B28,data!B:B,'monthly-forecast'!C28)</f>
        <v>348</v>
      </c>
      <c r="F28" s="190">
        <f t="shared" si="16"/>
        <v>364</v>
      </c>
      <c r="G28" s="190">
        <f t="shared" si="17"/>
        <v>348</v>
      </c>
      <c r="H28" s="190">
        <v>330</v>
      </c>
      <c r="I28" s="190">
        <v>487.5</v>
      </c>
      <c r="J28" s="190">
        <v>428.5</v>
      </c>
      <c r="K28" s="170">
        <v>3.0656000000000003</v>
      </c>
      <c r="L28" s="218"/>
      <c r="M28" s="218"/>
      <c r="N28" s="218"/>
      <c r="O28" s="218"/>
      <c r="P28" s="218"/>
      <c r="Q28" s="218"/>
      <c r="R28" s="218"/>
      <c r="S28" s="201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  <c r="AM28" s="155"/>
    </row>
    <row r="29" spans="1:46" x14ac:dyDescent="0.3">
      <c r="A29" s="169">
        <v>46066</v>
      </c>
      <c r="B29" s="159">
        <f t="shared" si="14"/>
        <v>2026</v>
      </c>
      <c r="C29" s="159">
        <f t="shared" si="15"/>
        <v>2</v>
      </c>
      <c r="D29" s="190">
        <f>AVERAGEIFS(data!G:G,data!A:A,'monthly-forecast'!B29,data!B:B,'monthly-forecast'!C29)</f>
        <v>364</v>
      </c>
      <c r="E29" s="190">
        <f>AVERAGEIFS(data!F:F,data!A:A,'monthly-forecast'!B29,data!B:B,'monthly-forecast'!C29)</f>
        <v>348</v>
      </c>
      <c r="F29" s="190">
        <f t="shared" si="16"/>
        <v>364</v>
      </c>
      <c r="G29" s="190">
        <f t="shared" si="17"/>
        <v>348</v>
      </c>
      <c r="H29" s="190">
        <v>330</v>
      </c>
      <c r="I29" s="190">
        <v>495</v>
      </c>
      <c r="J29" s="190">
        <v>402.5</v>
      </c>
      <c r="K29" s="170">
        <v>3.1743999999999999</v>
      </c>
      <c r="L29" s="218"/>
      <c r="M29" s="218"/>
      <c r="N29" s="218"/>
      <c r="O29" s="218"/>
      <c r="P29" s="218"/>
      <c r="Q29" s="218"/>
      <c r="R29" s="218"/>
      <c r="S29" s="201"/>
      <c r="AD29" s="156">
        <v>46101</v>
      </c>
      <c r="AE29" s="156">
        <f>AD29+7</f>
        <v>46108</v>
      </c>
      <c r="AF29" s="156">
        <f>AE29+7</f>
        <v>46115</v>
      </c>
      <c r="AG29" s="156">
        <f>AF29+7</f>
        <v>46122</v>
      </c>
      <c r="AH29" s="156">
        <f t="shared" ref="AH29:AR29" si="18">AG29+7</f>
        <v>46129</v>
      </c>
      <c r="AI29" s="156">
        <f t="shared" si="18"/>
        <v>46136</v>
      </c>
      <c r="AJ29" s="156">
        <f t="shared" si="18"/>
        <v>46143</v>
      </c>
      <c r="AK29" s="156">
        <f t="shared" si="18"/>
        <v>46150</v>
      </c>
      <c r="AL29" s="156">
        <f t="shared" si="18"/>
        <v>46157</v>
      </c>
      <c r="AM29" s="156">
        <f t="shared" si="18"/>
        <v>46164</v>
      </c>
      <c r="AN29" s="156">
        <f t="shared" si="18"/>
        <v>46171</v>
      </c>
      <c r="AO29" s="156">
        <f t="shared" si="18"/>
        <v>46178</v>
      </c>
      <c r="AP29" s="156">
        <f t="shared" si="18"/>
        <v>46185</v>
      </c>
      <c r="AQ29" s="156">
        <f t="shared" si="18"/>
        <v>46192</v>
      </c>
      <c r="AR29" s="156">
        <f t="shared" si="18"/>
        <v>46199</v>
      </c>
    </row>
    <row r="30" spans="1:46" x14ac:dyDescent="0.3">
      <c r="A30" s="169">
        <v>46059</v>
      </c>
      <c r="B30" s="159">
        <f t="shared" si="14"/>
        <v>2026</v>
      </c>
      <c r="C30" s="159">
        <f t="shared" si="15"/>
        <v>2</v>
      </c>
      <c r="D30" s="190">
        <f>AVERAGEIFS(data!G:G,data!A:A,'monthly-forecast'!B30,data!B:B,'monthly-forecast'!C30)</f>
        <v>364</v>
      </c>
      <c r="E30" s="190">
        <f>AVERAGEIFS(data!F:F,data!A:A,'monthly-forecast'!B30,data!B:B,'monthly-forecast'!C30)</f>
        <v>348</v>
      </c>
      <c r="F30" s="190">
        <f t="shared" si="16"/>
        <v>364</v>
      </c>
      <c r="G30" s="190">
        <f t="shared" si="17"/>
        <v>348</v>
      </c>
      <c r="H30" s="190">
        <v>322.5</v>
      </c>
      <c r="I30" s="190">
        <v>510</v>
      </c>
      <c r="J30" s="190">
        <v>425</v>
      </c>
      <c r="K30" s="170">
        <v>3.3888000000000007</v>
      </c>
      <c r="L30" s="219"/>
      <c r="M30" s="219"/>
      <c r="N30" s="219"/>
      <c r="O30" s="219"/>
      <c r="P30" s="219"/>
      <c r="Q30" s="219"/>
      <c r="R30" s="219"/>
      <c r="S30" s="202"/>
      <c r="AC30" t="s">
        <v>70</v>
      </c>
      <c r="AD30" s="131">
        <f xml:space="preserve"> 0.080991528041*E29 + 0.303754553817*E31 - 0.25338201366*I25 + 0.269148503584*I26 + 0.00378757678133*H25 + 0.43547234846*H26 - 12.2555082812*K25 + 15.7710625006*K26 + 0.517281394734*J25 - 0.299449478792*J26 - 3.00478655786</f>
        <v>469.046908532489</v>
      </c>
      <c r="AE30" s="131">
        <f xml:space="preserve"> 0.080991528041*E24 + 0.303754553817*E25 - 0.25338201366*I24 + 0.269148503584*I25 + 0.00378757678133*H24 + 0.43547234846*H25 - 12.2555082812*K24 + 15.7710625006*K25 + 0.517281394734*J24 - 0.299449478792*J25 - 3.00478655786</f>
        <v>510.99107050970889</v>
      </c>
      <c r="AF30" s="131">
        <f xml:space="preserve"> 0.080991528041*E23 + 0.303754553817*E24 - 0.25338201366*I23 + 0.269148503584*I24 + 0.00378757678133*H23 + 0.43547234846*H24 - 12.2555082812*K23 + 15.7710625006*K24 + 0.517281394734*J23 - 0.299449478792*J24 - 3.00478655786</f>
        <v>503.64917726481434</v>
      </c>
      <c r="AG30" s="131">
        <f xml:space="preserve"> 0.080991528041*E22 + 0.303754553817*E23 - 0.25338201366*I22 + 0.269148503584*I23 + 0.00378757678133*H22 + 0.43547234846*H23 - 12.2555082812*K22 + 15.7710625006*K23 + 0.517281394734*J22 - 0.299449478792*J23 - 3.00478655786</f>
        <v>570.72542524156813</v>
      </c>
      <c r="AH30" s="131">
        <f xml:space="preserve"> 0.080991528041*E21 + 0.303754553817*E22 - 0.25338201366*I21 + 0.269148503584*I22 + 0.00378757678133*H21 + 0.43547234846*H22 - 12.2555082812*K21 + 15.7710625006*K22 + 0.517281394734*J21 - 0.299449478792*J22 - 3.00478655786</f>
        <v>556.54117711851416</v>
      </c>
      <c r="AI30" s="131">
        <f xml:space="preserve"> 0.080991528041*E20 + 0.303754553817*E21 - 0.25338201366*I20 + 0.269148503584*I21 + 0.00378757678133*H20 + 0.43547234846*H21 - 12.2555082812*K20 + 15.7710625006*K21 + 0.517281394734*J20 - 0.299449478792*J21 - 3.00478655786</f>
        <v>577.74491389733612</v>
      </c>
      <c r="AJ30" s="131">
        <f xml:space="preserve"> 0.080991528041*E19 + 0.303754553817*E20 - 0.25338201366*I19 + 0.269148503584*I20 + 0.00378757678133*H19 + 0.43547234846*H20 - 12.2555082812*K19 + 15.7710625006*K20 + 0.517281394734*J19 - 0.299449478792*J20 - 3.00478655786</f>
        <v>608.57564534113521</v>
      </c>
      <c r="AK30" s="131">
        <f xml:space="preserve"> 0.080991528041*E18 + 0.303754553817*E19 - 0.25338201366*I18 + 0.269148503584*I19 + 0.00378757678133*H18 + 0.43547234846*H19 - 12.2555082812*K18 + 15.7710625006*K19 + 0.517281394734*J18 - 0.299449478792*J19 - 3.00478655786</f>
        <v>619.54952255262185</v>
      </c>
      <c r="AL30" s="131">
        <f xml:space="preserve"> 0.080991528041*E17 + 0.303754553817*E18 - 0.25338201366*I17 + 0.269148503584*I18 + 0.00378757678133*H17 + 0.43547234846*H18 - 12.2555082812*K17 + 15.7710625006*K18 + 0.517281394734*J17 - 0.299449478792*J18 - 3.00478655786</f>
        <v>613.19689015226618</v>
      </c>
      <c r="AM30" s="131">
        <f xml:space="preserve"> 0.080991528041*E16 + 0.303754553817*E17 - 0.25338201366*I16 + 0.269148503584*I17 + 0.00378757678133*H16 + 0.43547234846*H17 - 12.2555082812*K16 + 15.7710625006*K17 + 0.517281394734*J16 - 0.299449478792*J17 - 3.00478655786</f>
        <v>590.62192429174218</v>
      </c>
      <c r="AN30" s="131">
        <f xml:space="preserve"> 0.080991528041*E15 + 0.303754553817*E16 - 0.25338201366*I15 + 0.269148503584*I16 + 0.00378757678133*H15 + 0.43547234846*H16 - 12.2555082812*K15 + 15.7710625006*K16 + 0.517281394734*J15 - 0.299449478792*J16 - 3.00478655786</f>
        <v>587.08609693891356</v>
      </c>
      <c r="AO30" s="131">
        <f xml:space="preserve"> 0.080991528041*E14 + 0.303754553817*E15 - 0.25338201366*I14 + 0.269148503584*I15 + 0.00378757678133*H14 + 0.43547234846*H15 - 12.2555082812*K14 + 15.7710625006*K15 + 0.517281394734*J14 - 0.299449478792*J15 - 3.00478655786</f>
        <v>563.95875943616306</v>
      </c>
      <c r="AP30" s="136">
        <f xml:space="preserve"> 0.080991528041*E13 + 0.303754553817*E14 - 0.25338201366*I14 + 0.269148503584*I15 + 0.00378757678133*H14 + 0.43547234846*H15 - 12.2555082812*K13 + 15.7710625006*K14 + 0.517281394734*J14 - 0.299449478792*J15 - 3.00478655786</f>
        <v>558.96333650675297</v>
      </c>
      <c r="AQ30" s="136">
        <f xml:space="preserve"> 0.080991528041*E12 + 0.303754553817*E13 - 0.25338201366*I14 + 0.269148503584*I15 + 0.00378757678133*H14 + 0.43547234846*H15 - 12.2555082812*K13 + 15.7710625006*K14 + 0.517281394734*J14 - 0.299449478792*J15 - 3.00478655786</f>
        <v>549.06930385187127</v>
      </c>
      <c r="AR30" s="136">
        <f xml:space="preserve"> 0.080991528041*E11 + 0.303754553817*E12 - 0.25338201366*I14 + 0.269148503584*I15 + 0.00378757678133*H14 + 0.43547234846*H15 - 12.2555082812*K13 + 15.7710625006*K14 + 0.517281394734*J14 - 0.299449478792*J15 - 3.00478655786</f>
        <v>535.41944376384799</v>
      </c>
      <c r="AS30" s="136"/>
      <c r="AT30" s="154"/>
    </row>
    <row r="31" spans="1:46" x14ac:dyDescent="0.3">
      <c r="A31" s="169">
        <v>46052</v>
      </c>
      <c r="B31" s="159">
        <f t="shared" si="14"/>
        <v>2026</v>
      </c>
      <c r="C31" s="159">
        <f t="shared" si="15"/>
        <v>1</v>
      </c>
      <c r="D31" s="190">
        <f>AVERAGEIFS(data!G:G,data!A:A,'monthly-forecast'!B31,data!B:B,'monthly-forecast'!C31)</f>
        <v>361</v>
      </c>
      <c r="E31" s="190">
        <f>AVERAGEIFS(data!F:F,data!A:A,'monthly-forecast'!B31,data!B:B,'monthly-forecast'!C31)</f>
        <v>346</v>
      </c>
      <c r="F31" s="190">
        <f t="shared" si="16"/>
        <v>361</v>
      </c>
      <c r="G31" s="190">
        <f t="shared" si="17"/>
        <v>346</v>
      </c>
      <c r="H31" s="190">
        <v>322.5</v>
      </c>
      <c r="I31" s="190">
        <v>520</v>
      </c>
      <c r="J31" s="190">
        <v>410</v>
      </c>
      <c r="K31" s="170">
        <v>5.8971999999999998</v>
      </c>
      <c r="L31" s="217">
        <f>AVERAGE(D11:D35)</f>
        <v>528.71960402722152</v>
      </c>
      <c r="M31" s="217">
        <f>AVERAGE(E11:E35)</f>
        <v>473.64122443170777</v>
      </c>
      <c r="N31" s="217">
        <f>AVERAGE(D11:D35)</f>
        <v>528.71960402722152</v>
      </c>
      <c r="O31" s="217">
        <f>AVERAGE(E11:E35)</f>
        <v>473.64122443170777</v>
      </c>
      <c r="P31" s="217">
        <f>AVERAGE(H11:H35)</f>
        <v>397.7</v>
      </c>
      <c r="Q31" s="217">
        <f>AVERAGE(I11:I35)</f>
        <v>635</v>
      </c>
      <c r="R31" s="217">
        <f>AVERAGE(J11:J35)</f>
        <v>531.66</v>
      </c>
      <c r="S31" s="200">
        <f>AVERAGE(K11:K35)</f>
        <v>3.2188180000000006</v>
      </c>
      <c r="AD31" s="131"/>
      <c r="AE31" s="131">
        <f>AE30-AD30</f>
        <v>41.944161977219892</v>
      </c>
      <c r="AF31" s="131">
        <f>AF30-AE30</f>
        <v>-7.3418932448945498</v>
      </c>
      <c r="AG31" s="131">
        <f>AG30-AF30</f>
        <v>67.076247976753791</v>
      </c>
      <c r="AH31" s="131">
        <f t="shared" ref="AH31:AP31" si="19">AH30-AG30</f>
        <v>-14.184248123053976</v>
      </c>
      <c r="AI31" s="131">
        <f t="shared" si="19"/>
        <v>21.203736778821963</v>
      </c>
      <c r="AJ31" s="131">
        <f t="shared" si="19"/>
        <v>30.830731443799095</v>
      </c>
      <c r="AK31" s="131">
        <f t="shared" si="19"/>
        <v>10.973877211486638</v>
      </c>
      <c r="AL31" s="131">
        <f t="shared" si="19"/>
        <v>-6.3526324003556738</v>
      </c>
      <c r="AM31" s="131">
        <f t="shared" si="19"/>
        <v>-22.574965860524003</v>
      </c>
      <c r="AN31" s="131">
        <f t="shared" si="19"/>
        <v>-3.535827352828619</v>
      </c>
      <c r="AO31" s="131">
        <f t="shared" si="19"/>
        <v>-23.127337502750493</v>
      </c>
      <c r="AP31" s="131">
        <f t="shared" si="19"/>
        <v>-4.9954229294100969</v>
      </c>
      <c r="AS31" s="136"/>
      <c r="AT31" s="154"/>
    </row>
    <row r="32" spans="1:46" x14ac:dyDescent="0.3">
      <c r="A32" s="169">
        <v>46045</v>
      </c>
      <c r="B32" s="159">
        <f t="shared" si="14"/>
        <v>2026</v>
      </c>
      <c r="C32" s="159">
        <f t="shared" si="15"/>
        <v>1</v>
      </c>
      <c r="D32" s="190">
        <f>AVERAGEIFS(data!G:G,data!A:A,'monthly-forecast'!B32,data!B:B,'monthly-forecast'!C32)</f>
        <v>361</v>
      </c>
      <c r="E32" s="190">
        <f>AVERAGEIFS(data!F:F,data!A:A,'monthly-forecast'!B32,data!B:B,'monthly-forecast'!C32)</f>
        <v>346</v>
      </c>
      <c r="F32" s="190">
        <f t="shared" si="16"/>
        <v>361</v>
      </c>
      <c r="G32" s="190">
        <f t="shared" si="17"/>
        <v>346</v>
      </c>
      <c r="H32" s="190">
        <v>277.5</v>
      </c>
      <c r="I32" s="190">
        <v>520</v>
      </c>
      <c r="J32" s="190">
        <v>386</v>
      </c>
      <c r="K32" s="170">
        <v>4.4410000000000007</v>
      </c>
      <c r="L32" s="218"/>
      <c r="M32" s="218"/>
      <c r="N32" s="218"/>
      <c r="O32" s="218"/>
      <c r="P32" s="218"/>
      <c r="Q32" s="218"/>
      <c r="R32" s="218"/>
      <c r="S32" s="201"/>
      <c r="AD32" s="131"/>
      <c r="AE32" s="131"/>
      <c r="AS32" s="136"/>
      <c r="AT32" s="154"/>
    </row>
    <row r="33" spans="1:46" x14ac:dyDescent="0.3">
      <c r="A33" s="169">
        <v>46038</v>
      </c>
      <c r="B33" s="159">
        <f t="shared" si="14"/>
        <v>2026</v>
      </c>
      <c r="C33" s="159">
        <f t="shared" si="15"/>
        <v>1</v>
      </c>
      <c r="D33" s="190">
        <f>AVERAGEIFS(data!G:G,data!A:A,'monthly-forecast'!B33,data!B:B,'monthly-forecast'!C33)</f>
        <v>361</v>
      </c>
      <c r="E33" s="190">
        <f>AVERAGEIFS(data!F:F,data!A:A,'monthly-forecast'!B33,data!B:B,'monthly-forecast'!C33)</f>
        <v>346</v>
      </c>
      <c r="F33" s="190">
        <f t="shared" si="16"/>
        <v>361</v>
      </c>
      <c r="G33" s="190">
        <f t="shared" si="17"/>
        <v>346</v>
      </c>
      <c r="H33" s="190">
        <v>277.5</v>
      </c>
      <c r="I33" s="190">
        <v>520</v>
      </c>
      <c r="J33" s="190">
        <v>374.5</v>
      </c>
      <c r="K33" s="170">
        <v>3.2357999999999998</v>
      </c>
      <c r="L33" s="218"/>
      <c r="M33" s="218"/>
      <c r="N33" s="218"/>
      <c r="O33" s="218"/>
      <c r="P33" s="218"/>
      <c r="Q33" s="218"/>
      <c r="R33" s="218"/>
      <c r="S33" s="201"/>
      <c r="AD33" s="131"/>
      <c r="AE33" s="131"/>
      <c r="AS33" s="136"/>
      <c r="AT33" s="154"/>
    </row>
    <row r="34" spans="1:46" x14ac:dyDescent="0.3">
      <c r="A34" s="169">
        <v>46031</v>
      </c>
      <c r="B34" s="159">
        <f t="shared" si="14"/>
        <v>2026</v>
      </c>
      <c r="C34" s="159">
        <f t="shared" si="15"/>
        <v>1</v>
      </c>
      <c r="D34" s="190">
        <f>AVERAGEIFS(data!G:G,data!A:A,'monthly-forecast'!B34,data!B:B,'monthly-forecast'!C34)</f>
        <v>361</v>
      </c>
      <c r="E34" s="190">
        <f>AVERAGEIFS(data!F:F,data!A:A,'monthly-forecast'!B34,data!B:B,'monthly-forecast'!C34)</f>
        <v>346</v>
      </c>
      <c r="F34" s="190">
        <f t="shared" si="16"/>
        <v>361</v>
      </c>
      <c r="G34" s="190">
        <f t="shared" si="17"/>
        <v>346</v>
      </c>
      <c r="H34" s="190">
        <v>262.5</v>
      </c>
      <c r="I34" s="190">
        <v>520</v>
      </c>
      <c r="J34" s="190">
        <v>368.5</v>
      </c>
      <c r="K34" s="170">
        <v>3.3948</v>
      </c>
      <c r="L34" s="218"/>
      <c r="M34" s="218"/>
      <c r="N34" s="218"/>
      <c r="O34" s="218"/>
      <c r="P34" s="218"/>
      <c r="Q34" s="218"/>
      <c r="R34" s="218"/>
      <c r="S34" s="201"/>
      <c r="AC34" t="s">
        <v>4</v>
      </c>
      <c r="AD34" s="131">
        <f xml:space="preserve"> 0.280558110643*D28 + 0.15041224611*D31 - 0.188812610795*I25 + 0.259276330013*I26 + 0.249001945549*H25 - 0.0911542671384*H26- 11.8844751787*K25+ 5.64643067713*K26 + 0.185696475006*J25 + 0.247343345212*J26 - 3.75210437468</f>
        <v>482.02343015794048</v>
      </c>
      <c r="AE34" s="131">
        <f>0.280558110643*D26+0.15041224611*D25-0.188812610795*I25+0.259276330013*I24+0.249001945549*H25-0.0911542671384*H24-11.8844751787*K25+5.64643067713*K24+ 0.185696475006*J24+ 0.247343345212*J25 - 3.75210437468</f>
        <v>558.41052872581406</v>
      </c>
      <c r="AF34" s="131">
        <f>0.280558110643*D24+0.15041224611*D23-0.188812610795*I24+0.259276330013*I23+0.249001945549*H24-0.0911542671384*H23-11.8844751787*K24+5.64643067713*K23+ 0.185696475006*J23+ 0.247343345212*J24 - 3.75210437468</f>
        <v>596.4895537073304</v>
      </c>
      <c r="AG34" s="131">
        <f>0.280558110643*D23+0.15041224611*D22-0.188812610795*I23+0.259276330013*I22+0.249001945549*H23-0.0911542671384*H22-11.8844751787*K23+5.64643067713*K22+ 0.185696475006*J22+ 0.247343345212*J23 - 3.75210437468</f>
        <v>631.96542690341778</v>
      </c>
      <c r="AH34" s="131">
        <f>0.280558110643*D22+0.15041224611*D21-0.188812610795*I22+0.259276330013*I21+0.249001945549*H22-0.0911542671384*H21-11.8844751787*K22+5.64643067713*K21+ 0.185696475006*J21+ 0.247343345212*J22 - 3.75210437468</f>
        <v>659.32410644692334</v>
      </c>
      <c r="AI34" s="131">
        <f>0.280558110643*D21+0.15041224611*D20-0.188812610795*I21+0.259276330013*I20+0.249001945549*H21-0.0911542671384*H20-11.8844751787*K21+5.64643067713*K20+ 0.185696475006*J20+ 0.247343345212*J21 - 3.75210437468</f>
        <v>684.35683872821107</v>
      </c>
      <c r="AJ34" s="131">
        <f>0.280558110643*D20+0.15041224611*D19-0.188812610795*I20+0.259276330013*I19+0.249001945549*H20-0.0911542671384*H19-11.8844751787*K20+5.64643067713*K19+ 0.185696475006*J19+ 0.247343345212*J20 - 3.75210437468</f>
        <v>709.17085941220409</v>
      </c>
      <c r="AK34" s="131">
        <f>0.280558110643*D19+0.15041224611*D18-0.188812610795*I19+0.259276330013*I18+0.249001945549*H19-0.0911542671384*H18-11.8844751787*K19+5.64643067713*K18+ 0.185696475006*J18+ 0.247343345212*J19 - 3.75210437468</f>
        <v>748.10893270288727</v>
      </c>
      <c r="AL34" s="131">
        <f>0.280558110643*D18+0.15041224611*D17-0.188812610795*I18+0.259276330013*I17+0.249001945549*H18-0.0911542671384*H17-11.8844751787*K18+5.64643067713*K17+ 0.185696475006*J17+ 0.247343345212*J18 - 3.75210437468</f>
        <v>731.26444817201775</v>
      </c>
      <c r="AM34" s="131">
        <f>0.280558110643*D17+0.15041224611*D16-0.188812610795*I17+0.259276330013*I16+0.249001945549*H17-0.0911542671384*H16-11.8844751787*K17+5.64643067713*K16+ 0.185696475006*J16+ 0.247343345212*J17 - 3.75210437468</f>
        <v>704.79138741959275</v>
      </c>
      <c r="AN34" s="131">
        <f>0.280558110643*D16+0.15041224611*D15-0.188812610795*I16+0.259276330013*I15+0.249001945549*H16-0.0911542671384*H15-11.8844751787*K16+5.64643067713*K15+ 0.185696475006*J15+ 0.247343345212*J16 - 3.75210437468</f>
        <v>681.96865497636338</v>
      </c>
      <c r="AO34" s="131">
        <f>0.280558110643*D15+0.15041224611*D14-0.188812610795*I15+0.259276330013*I14+0.249001945549*H15-0.0911542671384*H14-11.8844751787*K15+5.64643067713*K14+ 0.185696475006*J14+ 0.247343345212*J15 - 3.75210437468</f>
        <v>667.58920433258857</v>
      </c>
      <c r="AP34" s="136">
        <f>0.280558110643*D14+0.15041224611*D13-0.188812610795*I15+0.259276330013*I14+0.249001945549*H15-0.0911542671384*H14-11.8844751787*K14+5.64643067713*K13+ 0.185696475006*J14+ 0.247343345212*J15 - 3.75210437468</f>
        <v>654.44171535608268</v>
      </c>
      <c r="AQ34" s="136">
        <f>0.280558110643*D13+0.15041224611*D12-0.188812610795*I15+0.259276330013*I14+0.249001945549*H15-0.0911542671384*H14-11.8844751787*K14+5.64643067713*K13+ 0.185696475006*J14+ 0.247343345212*J15 - 3.75210437468</f>
        <v>637.91018577598049</v>
      </c>
      <c r="AR34" s="136">
        <f>0.280558110643*D12+0.15041224611*D11-0.188812610795*I15+0.259276330013*I14+0.249001945549*H15-0.0911542671384*H14-11.8844751787*K14+5.64643067713*K13+ 0.185696475006*J14+ 0.247343345212*J15 - 3.75210437468</f>
        <v>620.81298949682571</v>
      </c>
      <c r="AS34" s="136"/>
      <c r="AT34" s="154"/>
    </row>
    <row r="35" spans="1:46" x14ac:dyDescent="0.3">
      <c r="A35" s="169">
        <v>46024</v>
      </c>
      <c r="B35" s="159">
        <f t="shared" si="14"/>
        <v>2026</v>
      </c>
      <c r="C35" s="159">
        <f t="shared" si="15"/>
        <v>1</v>
      </c>
      <c r="D35" s="190">
        <f>AVERAGEIFS(data!G:G,data!A:A,'monthly-forecast'!B35,data!B:B,'monthly-forecast'!C35)</f>
        <v>361</v>
      </c>
      <c r="E35" s="190">
        <f>AVERAGEIFS(data!F:F,data!A:A,'monthly-forecast'!B35,data!B:B,'monthly-forecast'!C35)</f>
        <v>346</v>
      </c>
      <c r="F35" s="190">
        <f t="shared" si="16"/>
        <v>361</v>
      </c>
      <c r="G35" s="190">
        <f t="shared" si="17"/>
        <v>346</v>
      </c>
      <c r="H35" s="190">
        <v>262.5</v>
      </c>
      <c r="I35" s="190">
        <v>520</v>
      </c>
      <c r="J35" s="190">
        <v>355</v>
      </c>
      <c r="K35" s="170">
        <v>3.9907500000000002</v>
      </c>
      <c r="L35" s="219"/>
      <c r="M35" s="219"/>
      <c r="N35" s="219"/>
      <c r="O35" s="219"/>
      <c r="P35" s="219"/>
      <c r="Q35" s="219"/>
      <c r="R35" s="219"/>
      <c r="S35" s="202"/>
      <c r="AD35" s="131"/>
      <c r="AE35" s="131">
        <f>AE34-AD34</f>
        <v>76.387098567873579</v>
      </c>
      <c r="AF35" s="131">
        <f t="shared" ref="AF35:AP35" si="20">AF34-AE34</f>
        <v>38.079024981516341</v>
      </c>
      <c r="AG35" s="131">
        <f>AG34-AF34</f>
        <v>35.475873196087377</v>
      </c>
      <c r="AH35" s="131">
        <f t="shared" si="20"/>
        <v>27.358679543505559</v>
      </c>
      <c r="AI35" s="131">
        <f>AI34-AH34</f>
        <v>25.032732281287736</v>
      </c>
      <c r="AJ35" s="131">
        <f t="shared" si="20"/>
        <v>24.814020683993022</v>
      </c>
      <c r="AK35" s="131">
        <f t="shared" si="20"/>
        <v>38.938073290683178</v>
      </c>
      <c r="AL35" s="131">
        <f t="shared" si="20"/>
        <v>-16.844484530869522</v>
      </c>
      <c r="AM35" s="131">
        <f t="shared" si="20"/>
        <v>-26.473060752424999</v>
      </c>
      <c r="AN35" s="131">
        <f t="shared" si="20"/>
        <v>-22.82273244322937</v>
      </c>
      <c r="AO35" s="131">
        <f t="shared" si="20"/>
        <v>-14.379450643774817</v>
      </c>
      <c r="AP35" s="131">
        <f t="shared" si="20"/>
        <v>-13.147488976505883</v>
      </c>
      <c r="AR35" s="136"/>
    </row>
    <row r="36" spans="1:46" x14ac:dyDescent="0.3">
      <c r="A36" s="169">
        <v>46017</v>
      </c>
      <c r="B36" s="159">
        <f t="shared" si="14"/>
        <v>2025</v>
      </c>
      <c r="C36" s="159">
        <f t="shared" si="15"/>
        <v>12</v>
      </c>
      <c r="D36" s="190">
        <f>AVERAGEIFS(data!G:G,data!A:A,'monthly-forecast'!B36,data!B:B,'monthly-forecast'!C36)</f>
        <v>360</v>
      </c>
      <c r="E36" s="190">
        <f>AVERAGEIFS(data!F:F,data!A:A,'monthly-forecast'!B36,data!B:B,'monthly-forecast'!C36)</f>
        <v>328</v>
      </c>
      <c r="F36" s="190">
        <f t="shared" si="16"/>
        <v>360</v>
      </c>
      <c r="G36" s="190">
        <f t="shared" si="17"/>
        <v>328</v>
      </c>
      <c r="H36" s="190">
        <v>262.5</v>
      </c>
      <c r="I36" s="190">
        <v>500</v>
      </c>
      <c r="J36" s="190">
        <v>342.5</v>
      </c>
      <c r="K36" s="170">
        <v>4.2452500000000004</v>
      </c>
      <c r="L36" s="217">
        <f>AVERAGE(D36:D39)</f>
        <v>360</v>
      </c>
      <c r="M36" s="217">
        <f>AVERAGE(E36:E39)</f>
        <v>328</v>
      </c>
      <c r="N36" s="217">
        <f>AVERAGE(D36:D39)</f>
        <v>360</v>
      </c>
      <c r="O36" s="217">
        <f>AVERAGE(E36:E39)</f>
        <v>328</v>
      </c>
      <c r="P36" s="217">
        <f>AVERAGE(H36:H39)</f>
        <v>258.75</v>
      </c>
      <c r="Q36" s="217">
        <f>AVERAGE(I36:I39)</f>
        <v>496.875</v>
      </c>
      <c r="R36" s="217">
        <f>AVERAGE(J36:J39)</f>
        <v>346.25</v>
      </c>
      <c r="S36" s="200">
        <f>AVERAGE(K36:K39)</f>
        <v>4.4286624999999997</v>
      </c>
      <c r="AD36" s="131"/>
      <c r="AE36" s="131">
        <f t="shared" ref="AE36:AG36" si="21">AE34-AE30</f>
        <v>47.41945821610517</v>
      </c>
      <c r="AF36" s="131">
        <f t="shared" si="21"/>
        <v>92.84037644251606</v>
      </c>
      <c r="AG36" s="131">
        <f t="shared" si="21"/>
        <v>61.240001661849647</v>
      </c>
      <c r="AH36" s="131">
        <f>AH34-AH30</f>
        <v>102.78292932840918</v>
      </c>
      <c r="AI36" s="131">
        <f>AI34-AI30</f>
        <v>106.61192483087495</v>
      </c>
      <c r="AJ36" s="131"/>
    </row>
    <row r="37" spans="1:46" x14ac:dyDescent="0.3">
      <c r="A37" s="169">
        <v>46010</v>
      </c>
      <c r="B37" s="159">
        <f t="shared" si="14"/>
        <v>2025</v>
      </c>
      <c r="C37" s="159">
        <f t="shared" si="15"/>
        <v>12</v>
      </c>
      <c r="D37" s="190">
        <f>AVERAGEIFS(data!G:G,data!A:A,'monthly-forecast'!B37,data!B:B,'monthly-forecast'!C37)</f>
        <v>360</v>
      </c>
      <c r="E37" s="190">
        <f>AVERAGEIFS(data!F:F,data!A:A,'monthly-forecast'!B37,data!B:B,'monthly-forecast'!C37)</f>
        <v>328</v>
      </c>
      <c r="F37" s="190">
        <f t="shared" si="16"/>
        <v>360</v>
      </c>
      <c r="G37" s="190">
        <f t="shared" si="17"/>
        <v>328</v>
      </c>
      <c r="H37" s="190">
        <v>262.5</v>
      </c>
      <c r="I37" s="190">
        <v>500</v>
      </c>
      <c r="J37" s="190">
        <v>342.5</v>
      </c>
      <c r="K37" s="170">
        <v>3.9628000000000001</v>
      </c>
      <c r="L37" s="218"/>
      <c r="M37" s="218"/>
      <c r="N37" s="218"/>
      <c r="O37" s="218"/>
      <c r="P37" s="218"/>
      <c r="Q37" s="218"/>
      <c r="R37" s="218"/>
      <c r="S37" s="201"/>
      <c r="AD37" s="136"/>
      <c r="AE37" s="136"/>
      <c r="AF37" s="136"/>
      <c r="AG37" s="136"/>
    </row>
    <row r="38" spans="1:46" x14ac:dyDescent="0.3">
      <c r="A38" s="169">
        <v>46003</v>
      </c>
      <c r="B38" s="159">
        <f t="shared" si="14"/>
        <v>2025</v>
      </c>
      <c r="C38" s="159">
        <f t="shared" si="15"/>
        <v>12</v>
      </c>
      <c r="D38" s="190">
        <f>AVERAGEIFS(data!G:G,data!A:A,'monthly-forecast'!B38,data!B:B,'monthly-forecast'!C38)</f>
        <v>360</v>
      </c>
      <c r="E38" s="190">
        <f>AVERAGEIFS(data!F:F,data!A:A,'monthly-forecast'!B38,data!B:B,'monthly-forecast'!C38)</f>
        <v>328</v>
      </c>
      <c r="F38" s="190">
        <f t="shared" si="16"/>
        <v>360</v>
      </c>
      <c r="G38" s="190">
        <f t="shared" si="17"/>
        <v>328</v>
      </c>
      <c r="H38" s="190">
        <v>255</v>
      </c>
      <c r="I38" s="190">
        <v>500</v>
      </c>
      <c r="J38" s="190">
        <v>340</v>
      </c>
      <c r="K38" s="170">
        <v>4.4850000000000003</v>
      </c>
      <c r="L38" s="218"/>
      <c r="M38" s="218"/>
      <c r="N38" s="218"/>
      <c r="O38" s="218"/>
      <c r="P38" s="218"/>
      <c r="Q38" s="218"/>
      <c r="R38" s="218"/>
      <c r="S38" s="201"/>
      <c r="AC38" s="197" t="s">
        <v>85</v>
      </c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</row>
    <row r="39" spans="1:46" x14ac:dyDescent="0.3">
      <c r="A39" s="169">
        <v>45996</v>
      </c>
      <c r="B39" s="159">
        <f t="shared" si="14"/>
        <v>2025</v>
      </c>
      <c r="C39" s="159">
        <f t="shared" si="15"/>
        <v>12</v>
      </c>
      <c r="D39" s="190">
        <f>AVERAGEIFS(data!G:G,data!A:A,'monthly-forecast'!B39,data!B:B,'monthly-forecast'!C39)</f>
        <v>360</v>
      </c>
      <c r="E39" s="190">
        <f>AVERAGEIFS(data!F:F,data!A:A,'monthly-forecast'!B39,data!B:B,'monthly-forecast'!C39)</f>
        <v>328</v>
      </c>
      <c r="F39" s="190">
        <f t="shared" si="16"/>
        <v>360</v>
      </c>
      <c r="G39" s="190">
        <f t="shared" si="17"/>
        <v>328</v>
      </c>
      <c r="H39" s="190">
        <v>255</v>
      </c>
      <c r="I39" s="190">
        <v>487.5</v>
      </c>
      <c r="J39" s="190">
        <v>360</v>
      </c>
      <c r="K39" s="170">
        <v>5.0216000000000003</v>
      </c>
      <c r="L39" s="219"/>
      <c r="M39" s="219"/>
      <c r="N39" s="219"/>
      <c r="O39" s="219"/>
      <c r="P39" s="219"/>
      <c r="Q39" s="219"/>
      <c r="R39" s="219"/>
      <c r="S39" s="202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</row>
    <row r="40" spans="1:46" x14ac:dyDescent="0.3">
      <c r="A40" s="169">
        <v>45989</v>
      </c>
      <c r="B40" s="159">
        <f t="shared" si="14"/>
        <v>2025</v>
      </c>
      <c r="C40" s="159">
        <f t="shared" si="15"/>
        <v>11</v>
      </c>
      <c r="D40" s="190">
        <f>AVERAGEIFS(data!G:G,data!A:A,'monthly-forecast'!B40,data!B:B,'monthly-forecast'!C40)</f>
        <v>360</v>
      </c>
      <c r="E40" s="190">
        <f>AVERAGEIFS(data!F:F,data!A:A,'monthly-forecast'!B40,data!B:B,'monthly-forecast'!C40)</f>
        <v>328</v>
      </c>
      <c r="F40" s="190">
        <f t="shared" si="16"/>
        <v>360</v>
      </c>
      <c r="G40" s="190">
        <f t="shared" si="17"/>
        <v>328</v>
      </c>
      <c r="H40" s="190">
        <v>255</v>
      </c>
      <c r="I40" s="190">
        <v>475</v>
      </c>
      <c r="J40" s="190">
        <v>363</v>
      </c>
      <c r="K40" s="170">
        <v>4.5952500000000001</v>
      </c>
      <c r="L40" s="217">
        <f>AVERAGE(D40:D43)</f>
        <v>360</v>
      </c>
      <c r="M40" s="217">
        <f>AVERAGE(E40:E43)</f>
        <v>328</v>
      </c>
      <c r="N40" s="217">
        <f>AVERAGE(D40:D43)</f>
        <v>360</v>
      </c>
      <c r="O40" s="217">
        <f>AVERAGE(E40:E43)</f>
        <v>328</v>
      </c>
      <c r="P40" s="217">
        <f t="shared" ref="P40:S40" si="22">AVERAGE(H40:H43)</f>
        <v>247.5</v>
      </c>
      <c r="Q40" s="217">
        <f t="shared" si="22"/>
        <v>448.75</v>
      </c>
      <c r="R40" s="217">
        <f t="shared" si="22"/>
        <v>367.75</v>
      </c>
      <c r="S40" s="200">
        <f t="shared" si="22"/>
        <v>4.4736624999999997</v>
      </c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</row>
    <row r="41" spans="1:46" x14ac:dyDescent="0.3">
      <c r="A41" s="169">
        <v>45982</v>
      </c>
      <c r="B41" s="159">
        <f t="shared" si="14"/>
        <v>2025</v>
      </c>
      <c r="C41" s="159">
        <f t="shared" si="15"/>
        <v>11</v>
      </c>
      <c r="D41" s="190">
        <f>AVERAGEIFS(data!G:G,data!A:A,'monthly-forecast'!B41,data!B:B,'monthly-forecast'!C41)</f>
        <v>360</v>
      </c>
      <c r="E41" s="190">
        <f>AVERAGEIFS(data!F:F,data!A:A,'monthly-forecast'!B41,data!B:B,'monthly-forecast'!C41)</f>
        <v>328</v>
      </c>
      <c r="F41" s="190">
        <f t="shared" si="16"/>
        <v>360</v>
      </c>
      <c r="G41" s="190">
        <f t="shared" si="17"/>
        <v>328</v>
      </c>
      <c r="H41" s="190">
        <v>242.5</v>
      </c>
      <c r="I41" s="190">
        <v>470</v>
      </c>
      <c r="J41" s="190">
        <v>363</v>
      </c>
      <c r="K41" s="170">
        <v>4.4672000000000001</v>
      </c>
      <c r="L41" s="218"/>
      <c r="M41" s="218"/>
      <c r="N41" s="218"/>
      <c r="O41" s="218"/>
      <c r="P41" s="218"/>
      <c r="Q41" s="218"/>
      <c r="R41" s="218"/>
      <c r="S41" s="201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</row>
    <row r="42" spans="1:46" x14ac:dyDescent="0.3">
      <c r="A42" s="169">
        <v>45975</v>
      </c>
      <c r="B42" s="159">
        <f t="shared" si="14"/>
        <v>2025</v>
      </c>
      <c r="C42" s="159">
        <f t="shared" si="15"/>
        <v>11</v>
      </c>
      <c r="D42" s="190">
        <f>AVERAGEIFS(data!G:G,data!A:A,'monthly-forecast'!B42,data!B:B,'monthly-forecast'!C42)</f>
        <v>360</v>
      </c>
      <c r="E42" s="190">
        <f>AVERAGEIFS(data!F:F,data!A:A,'monthly-forecast'!B42,data!B:B,'monthly-forecast'!C42)</f>
        <v>328</v>
      </c>
      <c r="F42" s="190">
        <f t="shared" si="16"/>
        <v>360</v>
      </c>
      <c r="G42" s="190">
        <f t="shared" si="17"/>
        <v>328</v>
      </c>
      <c r="H42" s="190">
        <v>242.5</v>
      </c>
      <c r="I42" s="190">
        <v>425</v>
      </c>
      <c r="J42" s="190">
        <v>372.5</v>
      </c>
      <c r="K42" s="170">
        <v>4.5296000000000003</v>
      </c>
      <c r="L42" s="218"/>
      <c r="M42" s="218"/>
      <c r="N42" s="218"/>
      <c r="O42" s="218"/>
      <c r="P42" s="218"/>
      <c r="Q42" s="218"/>
      <c r="R42" s="218"/>
      <c r="S42" s="201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</row>
    <row r="43" spans="1:46" x14ac:dyDescent="0.3">
      <c r="A43" s="169">
        <v>45968</v>
      </c>
      <c r="B43" s="159">
        <f t="shared" si="14"/>
        <v>2025</v>
      </c>
      <c r="C43" s="159">
        <f t="shared" si="15"/>
        <v>11</v>
      </c>
      <c r="D43" s="190">
        <f>AVERAGEIFS(data!G:G,data!A:A,'monthly-forecast'!B43,data!B:B,'monthly-forecast'!C43)</f>
        <v>360</v>
      </c>
      <c r="E43" s="190">
        <f>AVERAGEIFS(data!F:F,data!A:A,'monthly-forecast'!B43,data!B:B,'monthly-forecast'!C43)</f>
        <v>328</v>
      </c>
      <c r="F43" s="190">
        <f t="shared" si="16"/>
        <v>360</v>
      </c>
      <c r="G43" s="190">
        <f t="shared" si="17"/>
        <v>328</v>
      </c>
      <c r="H43" s="190">
        <v>250</v>
      </c>
      <c r="I43" s="190">
        <v>425</v>
      </c>
      <c r="J43" s="190">
        <v>372.5</v>
      </c>
      <c r="K43" s="170">
        <v>4.3026</v>
      </c>
      <c r="L43" s="219"/>
      <c r="M43" s="219"/>
      <c r="N43" s="219"/>
      <c r="O43" s="219"/>
      <c r="P43" s="219"/>
      <c r="Q43" s="219"/>
      <c r="R43" s="219"/>
      <c r="S43" s="202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</row>
    <row r="44" spans="1:46" x14ac:dyDescent="0.3">
      <c r="A44" s="169">
        <v>45961</v>
      </c>
      <c r="B44" s="159">
        <f t="shared" si="14"/>
        <v>2025</v>
      </c>
      <c r="C44" s="159">
        <f t="shared" si="15"/>
        <v>10</v>
      </c>
      <c r="D44" s="190">
        <f>AVERAGEIFS(data!G:G,data!A:A,'monthly-forecast'!B44,data!B:B,'monthly-forecast'!C44)</f>
        <v>411</v>
      </c>
      <c r="E44" s="190">
        <f>AVERAGEIFS(data!F:F,data!A:A,'monthly-forecast'!B44,data!B:B,'monthly-forecast'!C44)</f>
        <v>375</v>
      </c>
      <c r="F44" s="190">
        <f t="shared" si="16"/>
        <v>411</v>
      </c>
      <c r="G44" s="190">
        <f t="shared" si="17"/>
        <v>375</v>
      </c>
      <c r="H44" s="190">
        <v>250</v>
      </c>
      <c r="I44" s="190">
        <v>425</v>
      </c>
      <c r="J44" s="190">
        <v>370</v>
      </c>
      <c r="K44" s="170">
        <v>3.6486000000000005</v>
      </c>
      <c r="L44" s="217">
        <f>AVERAGE(D44:D48)</f>
        <v>411</v>
      </c>
      <c r="M44" s="217">
        <f>AVERAGE(E44:E48)</f>
        <v>375</v>
      </c>
      <c r="N44" s="217">
        <f>AVERAGE(D44:D48)</f>
        <v>411</v>
      </c>
      <c r="O44" s="217">
        <f>AVERAGE(E44:E48)</f>
        <v>375</v>
      </c>
      <c r="P44" s="217">
        <f t="shared" ref="P44:S44" si="23">AVERAGE(H44:H48)</f>
        <v>245</v>
      </c>
      <c r="Q44" s="217">
        <f t="shared" si="23"/>
        <v>400</v>
      </c>
      <c r="R44" s="217">
        <f t="shared" si="23"/>
        <v>365.5</v>
      </c>
      <c r="S44" s="200">
        <f t="shared" si="23"/>
        <v>3.3478000000000003</v>
      </c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</row>
    <row r="45" spans="1:46" x14ac:dyDescent="0.3">
      <c r="A45" s="169">
        <v>45954</v>
      </c>
      <c r="B45" s="159">
        <f t="shared" si="14"/>
        <v>2025</v>
      </c>
      <c r="C45" s="159">
        <f t="shared" si="15"/>
        <v>10</v>
      </c>
      <c r="D45" s="190">
        <f>AVERAGEIFS(data!G:G,data!A:A,'monthly-forecast'!B45,data!B:B,'monthly-forecast'!C45)</f>
        <v>411</v>
      </c>
      <c r="E45" s="190">
        <f>AVERAGEIFS(data!F:F,data!A:A,'monthly-forecast'!B45,data!B:B,'monthly-forecast'!C45)</f>
        <v>375</v>
      </c>
      <c r="F45" s="190">
        <f t="shared" si="16"/>
        <v>411</v>
      </c>
      <c r="G45" s="190">
        <f t="shared" si="17"/>
        <v>375</v>
      </c>
      <c r="H45" s="190">
        <v>250</v>
      </c>
      <c r="I45" s="190">
        <v>412.5</v>
      </c>
      <c r="J45" s="190">
        <v>352.5</v>
      </c>
      <c r="K45" s="170">
        <v>3.3937999999999997</v>
      </c>
      <c r="L45" s="218"/>
      <c r="M45" s="218"/>
      <c r="N45" s="218"/>
      <c r="O45" s="218"/>
      <c r="P45" s="218"/>
      <c r="Q45" s="218"/>
      <c r="R45" s="218"/>
      <c r="S45" s="201"/>
    </row>
    <row r="46" spans="1:46" x14ac:dyDescent="0.3">
      <c r="A46" s="169">
        <v>45947</v>
      </c>
      <c r="B46" s="159">
        <f t="shared" si="14"/>
        <v>2025</v>
      </c>
      <c r="C46" s="159">
        <f t="shared" si="15"/>
        <v>10</v>
      </c>
      <c r="D46" s="190">
        <f>AVERAGEIFS(data!G:G,data!A:A,'monthly-forecast'!B46,data!B:B,'monthly-forecast'!C46)</f>
        <v>411</v>
      </c>
      <c r="E46" s="190">
        <f>AVERAGEIFS(data!F:F,data!A:A,'monthly-forecast'!B46,data!B:B,'monthly-forecast'!C46)</f>
        <v>375</v>
      </c>
      <c r="F46" s="190">
        <f t="shared" si="16"/>
        <v>411</v>
      </c>
      <c r="G46" s="190">
        <f t="shared" si="17"/>
        <v>375</v>
      </c>
      <c r="H46" s="190">
        <v>232.5</v>
      </c>
      <c r="I46" s="190">
        <v>402.5</v>
      </c>
      <c r="J46" s="190">
        <v>362.5</v>
      </c>
      <c r="K46" s="170">
        <v>3.0216000000000003</v>
      </c>
      <c r="L46" s="218"/>
      <c r="M46" s="218"/>
      <c r="N46" s="218"/>
      <c r="O46" s="218"/>
      <c r="P46" s="218"/>
      <c r="Q46" s="218"/>
      <c r="R46" s="218"/>
      <c r="S46" s="201"/>
    </row>
    <row r="47" spans="1:46" x14ac:dyDescent="0.3">
      <c r="A47" s="169">
        <v>45940</v>
      </c>
      <c r="B47" s="159">
        <f t="shared" si="14"/>
        <v>2025</v>
      </c>
      <c r="C47" s="159">
        <f t="shared" si="15"/>
        <v>10</v>
      </c>
      <c r="D47" s="190">
        <f>AVERAGEIFS(data!G:G,data!A:A,'monthly-forecast'!B47,data!B:B,'monthly-forecast'!C47)</f>
        <v>411</v>
      </c>
      <c r="E47" s="190">
        <f>AVERAGEIFS(data!F:F,data!A:A,'monthly-forecast'!B47,data!B:B,'monthly-forecast'!C47)</f>
        <v>375</v>
      </c>
      <c r="F47" s="190">
        <f t="shared" si="16"/>
        <v>411</v>
      </c>
      <c r="G47" s="190">
        <f t="shared" si="17"/>
        <v>375</v>
      </c>
      <c r="H47" s="190">
        <v>237.5</v>
      </c>
      <c r="I47" s="190">
        <v>380</v>
      </c>
      <c r="J47" s="190">
        <v>370</v>
      </c>
      <c r="K47" s="170">
        <v>3.3125999999999998</v>
      </c>
      <c r="L47" s="218"/>
      <c r="M47" s="218"/>
      <c r="N47" s="218"/>
      <c r="O47" s="218"/>
      <c r="P47" s="218"/>
      <c r="Q47" s="218"/>
      <c r="R47" s="218"/>
      <c r="S47" s="201"/>
      <c r="AC47" s="210" t="s">
        <v>94</v>
      </c>
      <c r="AD47" s="210"/>
      <c r="AE47" s="210"/>
      <c r="AF47" s="210"/>
      <c r="AG47" s="210"/>
      <c r="AH47" s="210"/>
      <c r="AI47" s="210"/>
      <c r="AJ47" s="210"/>
      <c r="AK47" s="210"/>
      <c r="AL47" s="210"/>
      <c r="AM47" s="210"/>
    </row>
    <row r="48" spans="1:46" x14ac:dyDescent="0.3">
      <c r="A48" s="169">
        <v>45933</v>
      </c>
      <c r="B48" s="159">
        <f t="shared" si="14"/>
        <v>2025</v>
      </c>
      <c r="C48" s="159">
        <f t="shared" si="15"/>
        <v>10</v>
      </c>
      <c r="D48" s="190">
        <f>AVERAGEIFS(data!G:G,data!A:A,'monthly-forecast'!B48,data!B:B,'monthly-forecast'!C48)</f>
        <v>411</v>
      </c>
      <c r="E48" s="190">
        <f>AVERAGEIFS(data!F:F,data!A:A,'monthly-forecast'!B48,data!B:B,'monthly-forecast'!C48)</f>
        <v>375</v>
      </c>
      <c r="F48" s="190">
        <f t="shared" si="16"/>
        <v>411</v>
      </c>
      <c r="G48" s="190">
        <f t="shared" si="17"/>
        <v>375</v>
      </c>
      <c r="H48" s="190">
        <v>255</v>
      </c>
      <c r="I48" s="190">
        <v>380</v>
      </c>
      <c r="J48" s="190">
        <v>372.5</v>
      </c>
      <c r="K48" s="170">
        <v>3.3624000000000001</v>
      </c>
      <c r="L48" s="219"/>
      <c r="M48" s="219"/>
      <c r="N48" s="219"/>
      <c r="O48" s="219"/>
      <c r="P48" s="219"/>
      <c r="Q48" s="219"/>
      <c r="R48" s="219"/>
      <c r="S48" s="202"/>
      <c r="AC48" s="210"/>
      <c r="AD48" s="210"/>
      <c r="AE48" s="210"/>
      <c r="AF48" s="210"/>
      <c r="AG48" s="210"/>
      <c r="AH48" s="210"/>
      <c r="AI48" s="210"/>
      <c r="AJ48" s="210"/>
      <c r="AK48" s="210"/>
      <c r="AL48" s="210"/>
      <c r="AM48" s="210"/>
    </row>
    <row r="49" spans="1:39" x14ac:dyDescent="0.3">
      <c r="A49" s="169">
        <v>45926</v>
      </c>
      <c r="B49" s="159">
        <f t="shared" si="14"/>
        <v>2025</v>
      </c>
      <c r="C49" s="159">
        <f t="shared" si="15"/>
        <v>9</v>
      </c>
      <c r="D49" s="190">
        <f>AVERAGEIFS(data!G:G,data!A:A,'monthly-forecast'!B49,data!B:B,'monthly-forecast'!C49)</f>
        <v>391</v>
      </c>
      <c r="E49" s="190">
        <f>AVERAGEIFS(data!F:F,data!A:A,'monthly-forecast'!B49,data!B:B,'monthly-forecast'!C49)</f>
        <v>373</v>
      </c>
      <c r="F49" s="190">
        <f t="shared" si="16"/>
        <v>391</v>
      </c>
      <c r="G49" s="190">
        <f t="shared" si="17"/>
        <v>373</v>
      </c>
      <c r="H49" s="190">
        <v>265</v>
      </c>
      <c r="I49" s="190">
        <v>375</v>
      </c>
      <c r="J49" s="190">
        <v>377.5</v>
      </c>
      <c r="K49" s="170">
        <v>2.8512</v>
      </c>
      <c r="L49" s="217">
        <f>AVERAGE(D49:D52)</f>
        <v>391</v>
      </c>
      <c r="M49" s="217">
        <f>AVERAGE(E49:E52)</f>
        <v>373</v>
      </c>
      <c r="N49" s="217">
        <f>AVERAGE(D49:D52)</f>
        <v>391</v>
      </c>
      <c r="O49" s="217">
        <f>AVERAGE(E49:E52)</f>
        <v>373</v>
      </c>
      <c r="P49" s="217">
        <f t="shared" ref="P49:S49" si="24">AVERAGE(H49:H52)</f>
        <v>280.625</v>
      </c>
      <c r="Q49" s="217">
        <f t="shared" si="24"/>
        <v>352.5</v>
      </c>
      <c r="R49" s="217">
        <f t="shared" si="24"/>
        <v>388.625</v>
      </c>
      <c r="S49" s="200">
        <f t="shared" si="24"/>
        <v>2.9841875</v>
      </c>
      <c r="AC49" s="210"/>
      <c r="AD49" s="210"/>
      <c r="AE49" s="210"/>
      <c r="AF49" s="210"/>
      <c r="AG49" s="210"/>
      <c r="AH49" s="210"/>
      <c r="AI49" s="210"/>
      <c r="AJ49" s="210"/>
      <c r="AK49" s="210"/>
      <c r="AL49" s="210"/>
      <c r="AM49" s="210"/>
    </row>
    <row r="50" spans="1:39" x14ac:dyDescent="0.3">
      <c r="A50" s="169">
        <v>45919</v>
      </c>
      <c r="B50" s="159">
        <f t="shared" si="14"/>
        <v>2025</v>
      </c>
      <c r="C50" s="159">
        <f t="shared" si="15"/>
        <v>9</v>
      </c>
      <c r="D50" s="190">
        <f>AVERAGEIFS(data!G:G,data!A:A,'monthly-forecast'!B50,data!B:B,'monthly-forecast'!C50)</f>
        <v>391</v>
      </c>
      <c r="E50" s="190">
        <f>AVERAGEIFS(data!F:F,data!A:A,'monthly-forecast'!B50,data!B:B,'monthly-forecast'!C50)</f>
        <v>373</v>
      </c>
      <c r="F50" s="190">
        <f t="shared" si="16"/>
        <v>391</v>
      </c>
      <c r="G50" s="190">
        <f t="shared" si="17"/>
        <v>373</v>
      </c>
      <c r="H50" s="190">
        <v>275</v>
      </c>
      <c r="I50" s="190">
        <v>362.5</v>
      </c>
      <c r="J50" s="190">
        <v>387.5</v>
      </c>
      <c r="K50" s="170">
        <v>3.0146000000000002</v>
      </c>
      <c r="L50" s="218"/>
      <c r="M50" s="218"/>
      <c r="N50" s="218"/>
      <c r="O50" s="218"/>
      <c r="P50" s="218"/>
      <c r="Q50" s="218"/>
      <c r="R50" s="218"/>
      <c r="S50" s="201"/>
      <c r="AC50" s="210"/>
      <c r="AD50" s="210"/>
      <c r="AE50" s="210"/>
      <c r="AF50" s="210"/>
      <c r="AG50" s="210"/>
      <c r="AH50" s="210"/>
      <c r="AI50" s="210"/>
      <c r="AJ50" s="210"/>
      <c r="AK50" s="210"/>
      <c r="AL50" s="210"/>
      <c r="AM50" s="210"/>
    </row>
    <row r="51" spans="1:39" x14ac:dyDescent="0.3">
      <c r="A51" s="169">
        <v>45912</v>
      </c>
      <c r="B51" s="159">
        <f t="shared" si="14"/>
        <v>2025</v>
      </c>
      <c r="C51" s="159">
        <f t="shared" si="15"/>
        <v>9</v>
      </c>
      <c r="D51" s="190">
        <f>AVERAGEIFS(data!G:G,data!A:A,'monthly-forecast'!B51,data!B:B,'monthly-forecast'!C51)</f>
        <v>391</v>
      </c>
      <c r="E51" s="190">
        <f>AVERAGEIFS(data!F:F,data!A:A,'monthly-forecast'!B51,data!B:B,'monthly-forecast'!C51)</f>
        <v>373</v>
      </c>
      <c r="F51" s="190">
        <f t="shared" si="16"/>
        <v>391</v>
      </c>
      <c r="G51" s="190">
        <f t="shared" si="17"/>
        <v>373</v>
      </c>
      <c r="H51" s="190">
        <v>287.5</v>
      </c>
      <c r="I51" s="190">
        <v>345</v>
      </c>
      <c r="J51" s="190">
        <v>382</v>
      </c>
      <c r="K51" s="170">
        <v>3.0222000000000002</v>
      </c>
      <c r="L51" s="218"/>
      <c r="M51" s="218"/>
      <c r="N51" s="218"/>
      <c r="O51" s="218"/>
      <c r="P51" s="218"/>
      <c r="Q51" s="218"/>
      <c r="R51" s="218"/>
      <c r="S51" s="201"/>
      <c r="AC51" s="210"/>
      <c r="AD51" s="210"/>
      <c r="AE51" s="210"/>
      <c r="AF51" s="210"/>
      <c r="AG51" s="210"/>
      <c r="AH51" s="210"/>
      <c r="AI51" s="210"/>
      <c r="AJ51" s="210"/>
      <c r="AK51" s="210"/>
      <c r="AL51" s="210"/>
      <c r="AM51" s="210"/>
    </row>
    <row r="52" spans="1:39" x14ac:dyDescent="0.3">
      <c r="A52" s="169">
        <v>45905</v>
      </c>
      <c r="B52" s="159">
        <f t="shared" si="14"/>
        <v>2025</v>
      </c>
      <c r="C52" s="159">
        <f t="shared" si="15"/>
        <v>9</v>
      </c>
      <c r="D52" s="190">
        <f>AVERAGEIFS(data!G:G,data!A:A,'monthly-forecast'!B52,data!B:B,'monthly-forecast'!C52)</f>
        <v>391</v>
      </c>
      <c r="E52" s="190">
        <f>AVERAGEIFS(data!F:F,data!A:A,'monthly-forecast'!B52,data!B:B,'monthly-forecast'!C52)</f>
        <v>373</v>
      </c>
      <c r="F52" s="190">
        <f t="shared" si="16"/>
        <v>391</v>
      </c>
      <c r="G52" s="190">
        <f t="shared" si="17"/>
        <v>373</v>
      </c>
      <c r="H52" s="190">
        <v>295</v>
      </c>
      <c r="I52" s="190">
        <v>327.5</v>
      </c>
      <c r="J52" s="190">
        <v>407.5</v>
      </c>
      <c r="K52" s="170">
        <v>3.0487500000000001</v>
      </c>
      <c r="L52" s="219"/>
      <c r="M52" s="219"/>
      <c r="N52" s="219"/>
      <c r="O52" s="219"/>
      <c r="P52" s="219"/>
      <c r="Q52" s="219"/>
      <c r="R52" s="219"/>
      <c r="S52" s="202"/>
      <c r="AC52" s="210"/>
      <c r="AD52" s="210"/>
      <c r="AE52" s="210"/>
      <c r="AF52" s="210"/>
      <c r="AG52" s="210"/>
      <c r="AH52" s="210"/>
      <c r="AI52" s="210"/>
      <c r="AJ52" s="210"/>
      <c r="AK52" s="210"/>
      <c r="AL52" s="210"/>
      <c r="AM52" s="210"/>
    </row>
    <row r="53" spans="1:39" x14ac:dyDescent="0.3">
      <c r="A53" s="169">
        <v>45898</v>
      </c>
      <c r="B53" s="159">
        <f t="shared" si="14"/>
        <v>2025</v>
      </c>
      <c r="C53" s="159">
        <f t="shared" si="15"/>
        <v>8</v>
      </c>
      <c r="D53" s="190">
        <f>AVERAGEIFS(data!G:G,data!A:A,'monthly-forecast'!B53,data!B:B,'monthly-forecast'!C53)</f>
        <v>370</v>
      </c>
      <c r="E53" s="190">
        <f>AVERAGEIFS(data!F:F,data!A:A,'monthly-forecast'!B53,data!B:B,'monthly-forecast'!C53)</f>
        <v>370</v>
      </c>
      <c r="F53" s="190">
        <f t="shared" si="16"/>
        <v>370</v>
      </c>
      <c r="G53" s="190">
        <f t="shared" si="17"/>
        <v>370</v>
      </c>
      <c r="H53" s="190">
        <v>305</v>
      </c>
      <c r="I53" s="190">
        <v>327.5</v>
      </c>
      <c r="J53" s="190">
        <v>440</v>
      </c>
      <c r="K53" s="170">
        <v>2.8441999999999998</v>
      </c>
      <c r="L53" s="217">
        <f>AVERAGE(D53:D57)</f>
        <v>370</v>
      </c>
      <c r="M53" s="217">
        <f>AVERAGE(E53:E57)</f>
        <v>370</v>
      </c>
      <c r="N53" s="217">
        <f>AVERAGE(D53:D57)</f>
        <v>370</v>
      </c>
      <c r="O53" s="217">
        <f>AVERAGE(E53:E57)</f>
        <v>370</v>
      </c>
      <c r="P53" s="217">
        <f t="shared" ref="P53:S53" si="25">AVERAGE(H53:H57)</f>
        <v>308.7</v>
      </c>
      <c r="Q53" s="217">
        <f t="shared" si="25"/>
        <v>323.5</v>
      </c>
      <c r="R53" s="217">
        <f t="shared" si="25"/>
        <v>443.8</v>
      </c>
      <c r="S53" s="200">
        <f t="shared" si="25"/>
        <v>2.9151600000000002</v>
      </c>
      <c r="AC53" s="210"/>
      <c r="AD53" s="210"/>
      <c r="AE53" s="210"/>
      <c r="AF53" s="210"/>
      <c r="AG53" s="210"/>
      <c r="AH53" s="210"/>
      <c r="AI53" s="210"/>
      <c r="AJ53" s="210"/>
      <c r="AK53" s="210"/>
      <c r="AL53" s="210"/>
      <c r="AM53" s="210"/>
    </row>
    <row r="54" spans="1:39" x14ac:dyDescent="0.3">
      <c r="A54" s="169">
        <v>45891</v>
      </c>
      <c r="B54" s="159">
        <f t="shared" si="14"/>
        <v>2025</v>
      </c>
      <c r="C54" s="159">
        <f t="shared" si="15"/>
        <v>8</v>
      </c>
      <c r="D54" s="190">
        <f>AVERAGEIFS(data!G:G,data!A:A,'monthly-forecast'!B54,data!B:B,'monthly-forecast'!C54)</f>
        <v>370</v>
      </c>
      <c r="E54" s="190">
        <f>AVERAGEIFS(data!F:F,data!A:A,'monthly-forecast'!B54,data!B:B,'monthly-forecast'!C54)</f>
        <v>370</v>
      </c>
      <c r="F54" s="190">
        <f t="shared" si="16"/>
        <v>370</v>
      </c>
      <c r="G54" s="190">
        <f t="shared" si="17"/>
        <v>370</v>
      </c>
      <c r="H54" s="190">
        <v>310</v>
      </c>
      <c r="I54" s="190">
        <v>325</v>
      </c>
      <c r="J54" s="190">
        <v>444.5</v>
      </c>
      <c r="K54" s="170">
        <v>2.7864</v>
      </c>
      <c r="L54" s="218"/>
      <c r="M54" s="218"/>
      <c r="N54" s="218"/>
      <c r="O54" s="218"/>
      <c r="P54" s="218"/>
      <c r="Q54" s="218"/>
      <c r="R54" s="218"/>
      <c r="S54" s="201"/>
      <c r="AC54" s="210"/>
      <c r="AD54" s="210"/>
      <c r="AE54" s="210"/>
      <c r="AF54" s="210"/>
      <c r="AG54" s="210"/>
      <c r="AH54" s="210"/>
      <c r="AI54" s="210"/>
      <c r="AJ54" s="210"/>
      <c r="AK54" s="210"/>
      <c r="AL54" s="210"/>
      <c r="AM54" s="210"/>
    </row>
    <row r="55" spans="1:39" x14ac:dyDescent="0.3">
      <c r="A55" s="169">
        <v>45884</v>
      </c>
      <c r="B55" s="159">
        <f t="shared" si="14"/>
        <v>2025</v>
      </c>
      <c r="C55" s="159">
        <f t="shared" si="15"/>
        <v>8</v>
      </c>
      <c r="D55" s="190">
        <f>AVERAGEIFS(data!G:G,data!A:A,'monthly-forecast'!B55,data!B:B,'monthly-forecast'!C55)</f>
        <v>370</v>
      </c>
      <c r="E55" s="190">
        <f>AVERAGEIFS(data!F:F,data!A:A,'monthly-forecast'!B55,data!B:B,'monthly-forecast'!C55)</f>
        <v>370</v>
      </c>
      <c r="F55" s="190">
        <f t="shared" si="16"/>
        <v>370</v>
      </c>
      <c r="G55" s="190">
        <f t="shared" si="17"/>
        <v>370</v>
      </c>
      <c r="H55" s="190">
        <v>313.5</v>
      </c>
      <c r="I55" s="190">
        <v>325</v>
      </c>
      <c r="J55" s="190">
        <v>447</v>
      </c>
      <c r="K55" s="170">
        <v>2.8693999999999997</v>
      </c>
      <c r="L55" s="218"/>
      <c r="M55" s="218"/>
      <c r="N55" s="218"/>
      <c r="O55" s="218"/>
      <c r="P55" s="218"/>
      <c r="Q55" s="218"/>
      <c r="R55" s="218"/>
      <c r="S55" s="201"/>
      <c r="AC55" s="210"/>
      <c r="AD55" s="210"/>
      <c r="AE55" s="210"/>
      <c r="AF55" s="210"/>
      <c r="AG55" s="210"/>
      <c r="AH55" s="210"/>
      <c r="AI55" s="210"/>
      <c r="AJ55" s="210"/>
      <c r="AK55" s="210"/>
      <c r="AL55" s="210"/>
      <c r="AM55" s="210"/>
    </row>
    <row r="56" spans="1:39" x14ac:dyDescent="0.3">
      <c r="A56" s="169">
        <v>45877</v>
      </c>
      <c r="B56" s="159">
        <f t="shared" si="14"/>
        <v>2025</v>
      </c>
      <c r="C56" s="159">
        <f t="shared" si="15"/>
        <v>8</v>
      </c>
      <c r="D56" s="190">
        <f>AVERAGEIFS(data!G:G,data!A:A,'monthly-forecast'!B56,data!B:B,'monthly-forecast'!C56)</f>
        <v>370</v>
      </c>
      <c r="E56" s="190">
        <f>AVERAGEIFS(data!F:F,data!A:A,'monthly-forecast'!B56,data!B:B,'monthly-forecast'!C56)</f>
        <v>370</v>
      </c>
      <c r="F56" s="190">
        <f t="shared" si="16"/>
        <v>370</v>
      </c>
      <c r="G56" s="190">
        <f t="shared" si="17"/>
        <v>370</v>
      </c>
      <c r="H56" s="190">
        <v>297.5</v>
      </c>
      <c r="I56" s="190">
        <v>325</v>
      </c>
      <c r="J56" s="190">
        <v>447.5</v>
      </c>
      <c r="K56" s="170">
        <v>3.0152000000000001</v>
      </c>
      <c r="L56" s="218"/>
      <c r="M56" s="218"/>
      <c r="N56" s="218"/>
      <c r="O56" s="218"/>
      <c r="P56" s="218"/>
      <c r="Q56" s="218"/>
      <c r="R56" s="218"/>
      <c r="S56" s="201"/>
      <c r="AC56" s="210"/>
      <c r="AD56" s="210"/>
      <c r="AE56" s="210"/>
      <c r="AF56" s="210"/>
      <c r="AG56" s="210"/>
      <c r="AH56" s="210"/>
      <c r="AI56" s="210"/>
      <c r="AJ56" s="210"/>
      <c r="AK56" s="210"/>
      <c r="AL56" s="210"/>
      <c r="AM56" s="210"/>
    </row>
    <row r="57" spans="1:39" x14ac:dyDescent="0.3">
      <c r="A57" s="169">
        <v>45870</v>
      </c>
      <c r="B57" s="159">
        <f t="shared" si="14"/>
        <v>2025</v>
      </c>
      <c r="C57" s="159">
        <f t="shared" si="15"/>
        <v>8</v>
      </c>
      <c r="D57" s="190">
        <f>AVERAGEIFS(data!G:G,data!A:A,'monthly-forecast'!B57,data!B:B,'monthly-forecast'!C57)</f>
        <v>370</v>
      </c>
      <c r="E57" s="190">
        <f>AVERAGEIFS(data!F:F,data!A:A,'monthly-forecast'!B57,data!B:B,'monthly-forecast'!C57)</f>
        <v>370</v>
      </c>
      <c r="F57" s="190">
        <f t="shared" si="16"/>
        <v>370</v>
      </c>
      <c r="G57" s="190">
        <f t="shared" si="17"/>
        <v>370</v>
      </c>
      <c r="H57" s="190">
        <v>317.5</v>
      </c>
      <c r="I57" s="190">
        <v>315</v>
      </c>
      <c r="J57" s="190">
        <v>440</v>
      </c>
      <c r="K57" s="170">
        <v>3.0606</v>
      </c>
      <c r="L57" s="219"/>
      <c r="M57" s="219"/>
      <c r="N57" s="219"/>
      <c r="O57" s="219"/>
      <c r="P57" s="219"/>
      <c r="Q57" s="219"/>
      <c r="R57" s="219"/>
      <c r="S57" s="202"/>
      <c r="AC57" s="210"/>
      <c r="AD57" s="210"/>
      <c r="AE57" s="210"/>
      <c r="AF57" s="210"/>
      <c r="AG57" s="210"/>
      <c r="AH57" s="210"/>
      <c r="AI57" s="210"/>
      <c r="AJ57" s="210"/>
      <c r="AK57" s="210"/>
      <c r="AL57" s="210"/>
      <c r="AM57" s="210"/>
    </row>
    <row r="58" spans="1:39" x14ac:dyDescent="0.3">
      <c r="A58" s="169">
        <v>45863</v>
      </c>
      <c r="B58" s="159">
        <f t="shared" si="14"/>
        <v>2025</v>
      </c>
      <c r="C58" s="159">
        <f t="shared" si="15"/>
        <v>7</v>
      </c>
      <c r="D58" s="190">
        <f>AVERAGEIFS(data!G:G,data!A:A,'monthly-forecast'!B58,data!B:B,'monthly-forecast'!C58)</f>
        <v>320</v>
      </c>
      <c r="E58" s="190">
        <f>AVERAGEIFS(data!F:F,data!A:A,'monthly-forecast'!B58,data!B:B,'monthly-forecast'!C58)</f>
        <v>308</v>
      </c>
      <c r="F58" s="190">
        <f t="shared" si="16"/>
        <v>320</v>
      </c>
      <c r="G58" s="190">
        <f t="shared" si="17"/>
        <v>308</v>
      </c>
      <c r="H58" s="190">
        <v>320</v>
      </c>
      <c r="I58" s="190">
        <v>315</v>
      </c>
      <c r="J58" s="190">
        <v>428</v>
      </c>
      <c r="K58" s="170">
        <v>3.1715999999999993</v>
      </c>
      <c r="L58" s="217">
        <f>AVERAGE(D58:D61)</f>
        <v>320</v>
      </c>
      <c r="M58" s="217">
        <f>AVERAGE(E58:E61)</f>
        <v>308</v>
      </c>
      <c r="N58" s="217">
        <f>AVERAGE(D58:D61)</f>
        <v>320</v>
      </c>
      <c r="O58" s="217">
        <f>AVERAGE(E58:E61)</f>
        <v>308</v>
      </c>
      <c r="P58" s="217">
        <f t="shared" ref="P58:S58" si="26">AVERAGE(H58:H61)</f>
        <v>313.75</v>
      </c>
      <c r="Q58" s="217">
        <f t="shared" si="26"/>
        <v>305</v>
      </c>
      <c r="R58" s="217">
        <f t="shared" si="26"/>
        <v>417.75</v>
      </c>
      <c r="S58" s="200">
        <f t="shared" si="26"/>
        <v>3.3666</v>
      </c>
      <c r="AC58" s="210"/>
      <c r="AD58" s="210"/>
      <c r="AE58" s="210"/>
      <c r="AF58" s="210"/>
      <c r="AG58" s="210"/>
      <c r="AH58" s="210"/>
      <c r="AI58" s="210"/>
      <c r="AJ58" s="210"/>
      <c r="AK58" s="210"/>
      <c r="AL58" s="210"/>
      <c r="AM58" s="210"/>
    </row>
    <row r="59" spans="1:39" x14ac:dyDescent="0.3">
      <c r="A59" s="169">
        <v>45856</v>
      </c>
      <c r="B59" s="159">
        <f t="shared" si="14"/>
        <v>2025</v>
      </c>
      <c r="C59" s="159">
        <f t="shared" si="15"/>
        <v>7</v>
      </c>
      <c r="D59" s="190">
        <f>AVERAGEIFS(data!G:G,data!A:A,'monthly-forecast'!B59,data!B:B,'monthly-forecast'!C59)</f>
        <v>320</v>
      </c>
      <c r="E59" s="190">
        <f>AVERAGEIFS(data!F:F,data!A:A,'monthly-forecast'!B59,data!B:B,'monthly-forecast'!C59)</f>
        <v>308</v>
      </c>
      <c r="F59" s="190">
        <f t="shared" si="16"/>
        <v>320</v>
      </c>
      <c r="G59" s="190">
        <f t="shared" si="17"/>
        <v>308</v>
      </c>
      <c r="H59" s="190">
        <v>320</v>
      </c>
      <c r="I59" s="190">
        <v>307.5</v>
      </c>
      <c r="J59" s="190">
        <v>443</v>
      </c>
      <c r="K59" s="170">
        <v>3.5293999999999999</v>
      </c>
      <c r="L59" s="218"/>
      <c r="M59" s="218"/>
      <c r="N59" s="218"/>
      <c r="O59" s="218"/>
      <c r="P59" s="218"/>
      <c r="Q59" s="218"/>
      <c r="R59" s="218"/>
      <c r="S59" s="201"/>
      <c r="AC59" s="210"/>
      <c r="AD59" s="210"/>
      <c r="AE59" s="210"/>
      <c r="AF59" s="210"/>
      <c r="AG59" s="210"/>
      <c r="AH59" s="210"/>
      <c r="AI59" s="210"/>
      <c r="AJ59" s="210"/>
      <c r="AK59" s="210"/>
      <c r="AL59" s="210"/>
      <c r="AM59" s="210"/>
    </row>
    <row r="60" spans="1:39" x14ac:dyDescent="0.3">
      <c r="A60" s="169">
        <v>45849</v>
      </c>
      <c r="B60" s="159">
        <f t="shared" si="14"/>
        <v>2025</v>
      </c>
      <c r="C60" s="159">
        <f t="shared" si="15"/>
        <v>7</v>
      </c>
      <c r="D60" s="190">
        <f>AVERAGEIFS(data!G:G,data!A:A,'monthly-forecast'!B60,data!B:B,'monthly-forecast'!C60)</f>
        <v>320</v>
      </c>
      <c r="E60" s="190">
        <f>AVERAGEIFS(data!F:F,data!A:A,'monthly-forecast'!B60,data!B:B,'monthly-forecast'!C60)</f>
        <v>308</v>
      </c>
      <c r="F60" s="190">
        <f t="shared" si="16"/>
        <v>320</v>
      </c>
      <c r="G60" s="190">
        <f t="shared" si="17"/>
        <v>308</v>
      </c>
      <c r="H60" s="190">
        <v>307.5</v>
      </c>
      <c r="I60" s="190">
        <v>307.5</v>
      </c>
      <c r="J60" s="190">
        <v>405</v>
      </c>
      <c r="K60" s="170">
        <v>3.3234000000000004</v>
      </c>
      <c r="L60" s="218"/>
      <c r="M60" s="218"/>
      <c r="N60" s="218"/>
      <c r="O60" s="218"/>
      <c r="P60" s="218"/>
      <c r="Q60" s="218"/>
      <c r="R60" s="218"/>
      <c r="S60" s="201"/>
      <c r="AC60" s="210"/>
      <c r="AD60" s="210"/>
      <c r="AE60" s="210"/>
      <c r="AF60" s="210"/>
      <c r="AG60" s="210"/>
      <c r="AH60" s="210"/>
      <c r="AI60" s="210"/>
      <c r="AJ60" s="210"/>
      <c r="AK60" s="210"/>
      <c r="AL60" s="210"/>
      <c r="AM60" s="210"/>
    </row>
    <row r="61" spans="1:39" x14ac:dyDescent="0.3">
      <c r="A61" s="169">
        <v>45842</v>
      </c>
      <c r="B61" s="159">
        <f t="shared" si="14"/>
        <v>2025</v>
      </c>
      <c r="C61" s="159">
        <f t="shared" si="15"/>
        <v>7</v>
      </c>
      <c r="D61" s="190">
        <f>AVERAGEIFS(data!G:G,data!A:A,'monthly-forecast'!B61,data!B:B,'monthly-forecast'!C61)</f>
        <v>320</v>
      </c>
      <c r="E61" s="190">
        <f>AVERAGEIFS(data!F:F,data!A:A,'monthly-forecast'!B61,data!B:B,'monthly-forecast'!C61)</f>
        <v>308</v>
      </c>
      <c r="F61" s="190">
        <f t="shared" si="16"/>
        <v>320</v>
      </c>
      <c r="G61" s="190">
        <f t="shared" si="17"/>
        <v>308</v>
      </c>
      <c r="H61" s="190">
        <v>307.5</v>
      </c>
      <c r="I61" s="190">
        <v>290</v>
      </c>
      <c r="J61" s="190">
        <v>395</v>
      </c>
      <c r="K61" s="170">
        <v>3.4420000000000002</v>
      </c>
      <c r="L61" s="219"/>
      <c r="M61" s="219"/>
      <c r="N61" s="219"/>
      <c r="O61" s="219"/>
      <c r="P61" s="219"/>
      <c r="Q61" s="219"/>
      <c r="R61" s="219"/>
      <c r="S61" s="202"/>
      <c r="AC61" s="130"/>
      <c r="AD61" s="130"/>
      <c r="AE61" s="130"/>
      <c r="AF61" s="130"/>
      <c r="AG61" s="130"/>
      <c r="AH61" s="130"/>
      <c r="AI61" s="130"/>
      <c r="AJ61" s="130"/>
      <c r="AK61" s="130"/>
      <c r="AL61" s="130"/>
      <c r="AM61" s="130"/>
    </row>
    <row r="62" spans="1:39" x14ac:dyDescent="0.3">
      <c r="A62" s="169">
        <v>45835</v>
      </c>
      <c r="B62" s="159">
        <f t="shared" si="14"/>
        <v>2025</v>
      </c>
      <c r="C62" s="159">
        <f t="shared" si="15"/>
        <v>6</v>
      </c>
      <c r="D62" s="190">
        <f>AVERAGEIFS(data!G:G,data!A:A,'monthly-forecast'!B62,data!B:B,'monthly-forecast'!C62)</f>
        <v>315</v>
      </c>
      <c r="E62" s="190">
        <f>AVERAGEIFS(data!F:F,data!A:A,'monthly-forecast'!B62,data!B:B,'monthly-forecast'!C62)</f>
        <v>308</v>
      </c>
      <c r="F62" s="190">
        <f t="shared" si="16"/>
        <v>315</v>
      </c>
      <c r="G62" s="190">
        <f t="shared" si="17"/>
        <v>308</v>
      </c>
      <c r="H62" s="190">
        <v>300</v>
      </c>
      <c r="I62" s="190">
        <v>290</v>
      </c>
      <c r="J62" s="190">
        <v>432.5</v>
      </c>
      <c r="K62" s="170">
        <v>3.5282000000000004</v>
      </c>
      <c r="L62" s="217">
        <f>AVERAGE(D62:D65)</f>
        <v>315</v>
      </c>
      <c r="M62" s="217">
        <f>AVERAGE(E62:E65)</f>
        <v>308</v>
      </c>
      <c r="N62" s="217">
        <f>AVERAGE(D62:D65)</f>
        <v>315</v>
      </c>
      <c r="O62" s="217">
        <f>AVERAGE(E62:E65)</f>
        <v>308</v>
      </c>
      <c r="P62" s="217">
        <f t="shared" ref="P62:S62" si="27">AVERAGE(H62:H65)</f>
        <v>244.375</v>
      </c>
      <c r="Q62" s="217">
        <f t="shared" si="27"/>
        <v>290</v>
      </c>
      <c r="R62" s="217">
        <f t="shared" si="27"/>
        <v>382.5</v>
      </c>
      <c r="S62" s="200">
        <f t="shared" si="27"/>
        <v>3.6637875000000002</v>
      </c>
      <c r="AC62" s="130"/>
      <c r="AD62" s="130"/>
      <c r="AE62" s="130"/>
      <c r="AF62" s="130"/>
      <c r="AG62" s="130"/>
      <c r="AH62" s="130"/>
      <c r="AI62" s="130"/>
      <c r="AJ62" s="130"/>
      <c r="AK62" s="130"/>
      <c r="AL62" s="130"/>
      <c r="AM62" s="130"/>
    </row>
    <row r="63" spans="1:39" x14ac:dyDescent="0.3">
      <c r="A63" s="169">
        <v>45828</v>
      </c>
      <c r="B63" s="159">
        <f t="shared" si="14"/>
        <v>2025</v>
      </c>
      <c r="C63" s="159">
        <f t="shared" si="15"/>
        <v>6</v>
      </c>
      <c r="D63" s="190">
        <f>AVERAGEIFS(data!G:G,data!A:A,'monthly-forecast'!B63,data!B:B,'monthly-forecast'!C63)</f>
        <v>315</v>
      </c>
      <c r="E63" s="190">
        <f>AVERAGEIFS(data!F:F,data!A:A,'monthly-forecast'!B63,data!B:B,'monthly-forecast'!C63)</f>
        <v>308</v>
      </c>
      <c r="F63" s="190">
        <f t="shared" si="16"/>
        <v>315</v>
      </c>
      <c r="G63" s="190">
        <f t="shared" si="17"/>
        <v>308</v>
      </c>
      <c r="H63" s="190">
        <v>230</v>
      </c>
      <c r="I63" s="190">
        <v>290</v>
      </c>
      <c r="J63" s="190">
        <v>392.5</v>
      </c>
      <c r="K63" s="170">
        <v>3.8587500000000006</v>
      </c>
      <c r="L63" s="218"/>
      <c r="M63" s="218"/>
      <c r="N63" s="218"/>
      <c r="O63" s="218"/>
      <c r="P63" s="218"/>
      <c r="Q63" s="218"/>
      <c r="R63" s="218"/>
      <c r="S63" s="201"/>
    </row>
    <row r="64" spans="1:39" x14ac:dyDescent="0.3">
      <c r="A64" s="169">
        <v>45821</v>
      </c>
      <c r="B64" s="159">
        <f t="shared" si="14"/>
        <v>2025</v>
      </c>
      <c r="C64" s="159">
        <f t="shared" si="15"/>
        <v>6</v>
      </c>
      <c r="D64" s="190">
        <f>AVERAGEIFS(data!G:G,data!A:A,'monthly-forecast'!B64,data!B:B,'monthly-forecast'!C64)</f>
        <v>315</v>
      </c>
      <c r="E64" s="190">
        <f>AVERAGEIFS(data!F:F,data!A:A,'monthly-forecast'!B64,data!B:B,'monthly-forecast'!C64)</f>
        <v>308</v>
      </c>
      <c r="F64" s="190">
        <f t="shared" si="16"/>
        <v>315</v>
      </c>
      <c r="G64" s="190">
        <f t="shared" si="17"/>
        <v>308</v>
      </c>
      <c r="H64" s="190">
        <v>230</v>
      </c>
      <c r="I64" s="190">
        <v>290</v>
      </c>
      <c r="J64" s="190">
        <v>352.5</v>
      </c>
      <c r="K64" s="170">
        <v>3.5495999999999994</v>
      </c>
      <c r="L64" s="218"/>
      <c r="M64" s="218"/>
      <c r="N64" s="218"/>
      <c r="O64" s="218"/>
      <c r="P64" s="218"/>
      <c r="Q64" s="218"/>
      <c r="R64" s="218"/>
      <c r="S64" s="201"/>
    </row>
    <row r="65" spans="1:19" x14ac:dyDescent="0.3">
      <c r="A65" s="169">
        <v>45814</v>
      </c>
      <c r="B65" s="159">
        <f t="shared" si="14"/>
        <v>2025</v>
      </c>
      <c r="C65" s="159">
        <f t="shared" si="15"/>
        <v>6</v>
      </c>
      <c r="D65" s="190">
        <f>AVERAGEIFS(data!G:G,data!A:A,'monthly-forecast'!B65,data!B:B,'monthly-forecast'!C65)</f>
        <v>315</v>
      </c>
      <c r="E65" s="190">
        <f>AVERAGEIFS(data!F:F,data!A:A,'monthly-forecast'!B65,data!B:B,'monthly-forecast'!C65)</f>
        <v>308</v>
      </c>
      <c r="F65" s="190">
        <f t="shared" si="16"/>
        <v>315</v>
      </c>
      <c r="G65" s="190">
        <f t="shared" si="17"/>
        <v>308</v>
      </c>
      <c r="H65" s="190">
        <v>217.5</v>
      </c>
      <c r="I65" s="190">
        <v>290</v>
      </c>
      <c r="J65" s="190">
        <v>352.5</v>
      </c>
      <c r="K65" s="170">
        <v>3.7185999999999999</v>
      </c>
      <c r="L65" s="219"/>
      <c r="M65" s="219"/>
      <c r="N65" s="219"/>
      <c r="O65" s="219"/>
      <c r="P65" s="219"/>
      <c r="Q65" s="219"/>
      <c r="R65" s="219"/>
      <c r="S65" s="202"/>
    </row>
    <row r="66" spans="1:19" x14ac:dyDescent="0.3">
      <c r="A66" s="169">
        <v>45807</v>
      </c>
      <c r="B66" s="159">
        <f t="shared" si="14"/>
        <v>2025</v>
      </c>
      <c r="C66" s="159">
        <f t="shared" si="15"/>
        <v>5</v>
      </c>
      <c r="D66" s="190">
        <f>AVERAGEIFS(data!G:G,data!A:A,'monthly-forecast'!B66,data!B:B,'monthly-forecast'!C66)</f>
        <v>325</v>
      </c>
      <c r="E66" s="190">
        <f>AVERAGEIFS(data!F:F,data!A:A,'monthly-forecast'!B66,data!B:B,'monthly-forecast'!C66)</f>
        <v>321</v>
      </c>
      <c r="F66" s="190">
        <f t="shared" si="16"/>
        <v>325</v>
      </c>
      <c r="G66" s="190">
        <f t="shared" si="17"/>
        <v>321</v>
      </c>
      <c r="H66" s="190">
        <v>210</v>
      </c>
      <c r="I66" s="190">
        <v>302.5</v>
      </c>
      <c r="J66" s="190">
        <v>355</v>
      </c>
      <c r="K66" s="170">
        <v>3.3927499999999999</v>
      </c>
      <c r="L66" s="217">
        <f>AVERAGE(D66:D70)</f>
        <v>325</v>
      </c>
      <c r="M66" s="217">
        <f>AVERAGE(E66:E70)</f>
        <v>321</v>
      </c>
      <c r="N66" s="217">
        <f>AVERAGE(D66:D70)</f>
        <v>325</v>
      </c>
      <c r="O66" s="217">
        <f>AVERAGE(E66:E70)</f>
        <v>321</v>
      </c>
      <c r="P66" s="217">
        <f t="shared" ref="P66:S66" si="28">AVERAGE(H66:H70)</f>
        <v>214.5</v>
      </c>
      <c r="Q66" s="217">
        <f t="shared" si="28"/>
        <v>302.5</v>
      </c>
      <c r="R66" s="217">
        <f t="shared" si="28"/>
        <v>351</v>
      </c>
      <c r="S66" s="200">
        <f t="shared" si="28"/>
        <v>3.4380700000000006</v>
      </c>
    </row>
    <row r="67" spans="1:19" x14ac:dyDescent="0.3">
      <c r="A67" s="169">
        <v>45800</v>
      </c>
      <c r="B67" s="159">
        <f t="shared" si="14"/>
        <v>2025</v>
      </c>
      <c r="C67" s="159">
        <f t="shared" si="15"/>
        <v>5</v>
      </c>
      <c r="D67" s="190">
        <f>AVERAGEIFS(data!G:G,data!A:A,'monthly-forecast'!B67,data!B:B,'monthly-forecast'!C67)</f>
        <v>325</v>
      </c>
      <c r="E67" s="190">
        <f>AVERAGEIFS(data!F:F,data!A:A,'monthly-forecast'!B67,data!B:B,'monthly-forecast'!C67)</f>
        <v>321</v>
      </c>
      <c r="F67" s="190">
        <f t="shared" si="16"/>
        <v>325</v>
      </c>
      <c r="G67" s="190">
        <f t="shared" si="17"/>
        <v>321</v>
      </c>
      <c r="H67" s="190">
        <v>217.5</v>
      </c>
      <c r="I67" s="190">
        <v>302.5</v>
      </c>
      <c r="J67" s="190">
        <v>355</v>
      </c>
      <c r="K67" s="170">
        <v>3.2990000000000004</v>
      </c>
      <c r="L67" s="218"/>
      <c r="M67" s="218"/>
      <c r="N67" s="218"/>
      <c r="O67" s="218"/>
      <c r="P67" s="218"/>
      <c r="Q67" s="218"/>
      <c r="R67" s="218"/>
      <c r="S67" s="201"/>
    </row>
    <row r="68" spans="1:19" x14ac:dyDescent="0.3">
      <c r="A68" s="169">
        <v>45793</v>
      </c>
      <c r="B68" s="159">
        <f t="shared" si="14"/>
        <v>2025</v>
      </c>
      <c r="C68" s="159">
        <f t="shared" si="15"/>
        <v>5</v>
      </c>
      <c r="D68" s="190">
        <f>AVERAGEIFS(data!G:G,data!A:A,'monthly-forecast'!B68,data!B:B,'monthly-forecast'!C68)</f>
        <v>325</v>
      </c>
      <c r="E68" s="190">
        <f>AVERAGEIFS(data!F:F,data!A:A,'monthly-forecast'!B68,data!B:B,'monthly-forecast'!C68)</f>
        <v>321</v>
      </c>
      <c r="F68" s="190">
        <f t="shared" si="16"/>
        <v>325</v>
      </c>
      <c r="G68" s="190">
        <f t="shared" si="17"/>
        <v>321</v>
      </c>
      <c r="H68" s="190">
        <v>215</v>
      </c>
      <c r="I68" s="190">
        <v>302.5</v>
      </c>
      <c r="J68" s="190">
        <v>350</v>
      </c>
      <c r="K68" s="170">
        <v>3.4961999999999995</v>
      </c>
      <c r="L68" s="218"/>
      <c r="M68" s="218"/>
      <c r="N68" s="218"/>
      <c r="O68" s="218"/>
      <c r="P68" s="218"/>
      <c r="Q68" s="218"/>
      <c r="R68" s="218"/>
      <c r="S68" s="201"/>
    </row>
    <row r="69" spans="1:19" x14ac:dyDescent="0.3">
      <c r="A69" s="169">
        <v>45786</v>
      </c>
      <c r="B69" s="159">
        <f t="shared" si="14"/>
        <v>2025</v>
      </c>
      <c r="C69" s="159">
        <f t="shared" si="15"/>
        <v>5</v>
      </c>
      <c r="D69" s="190">
        <f>AVERAGEIFS(data!G:G,data!A:A,'monthly-forecast'!B69,data!B:B,'monthly-forecast'!C69)</f>
        <v>325</v>
      </c>
      <c r="E69" s="190">
        <f>AVERAGEIFS(data!F:F,data!A:A,'monthly-forecast'!B69,data!B:B,'monthly-forecast'!C69)</f>
        <v>321</v>
      </c>
      <c r="F69" s="190">
        <f t="shared" si="16"/>
        <v>325</v>
      </c>
      <c r="G69" s="190">
        <f t="shared" si="17"/>
        <v>321</v>
      </c>
      <c r="H69" s="190">
        <v>215</v>
      </c>
      <c r="I69" s="190">
        <v>302.5</v>
      </c>
      <c r="J69" s="190">
        <v>347.5</v>
      </c>
      <c r="K69" s="170">
        <v>3.6042000000000001</v>
      </c>
      <c r="L69" s="218"/>
      <c r="M69" s="218"/>
      <c r="N69" s="218"/>
      <c r="O69" s="218"/>
      <c r="P69" s="218"/>
      <c r="Q69" s="218"/>
      <c r="R69" s="218"/>
      <c r="S69" s="201"/>
    </row>
    <row r="70" spans="1:19" x14ac:dyDescent="0.3">
      <c r="A70" s="169">
        <v>45779</v>
      </c>
      <c r="B70" s="159">
        <f t="shared" si="14"/>
        <v>2025</v>
      </c>
      <c r="C70" s="159">
        <f t="shared" si="15"/>
        <v>5</v>
      </c>
      <c r="D70" s="190">
        <f>AVERAGEIFS(data!G:G,data!A:A,'monthly-forecast'!B70,data!B:B,'monthly-forecast'!C70)</f>
        <v>325</v>
      </c>
      <c r="E70" s="190">
        <f>AVERAGEIFS(data!F:F,data!A:A,'monthly-forecast'!B70,data!B:B,'monthly-forecast'!C70)</f>
        <v>321</v>
      </c>
      <c r="F70" s="190">
        <f t="shared" si="16"/>
        <v>325</v>
      </c>
      <c r="G70" s="190">
        <f t="shared" si="17"/>
        <v>321</v>
      </c>
      <c r="H70" s="190">
        <v>215</v>
      </c>
      <c r="I70" s="190">
        <v>302.5</v>
      </c>
      <c r="J70" s="190">
        <v>347.5</v>
      </c>
      <c r="K70" s="170">
        <v>3.3982000000000001</v>
      </c>
      <c r="L70" s="219"/>
      <c r="M70" s="219"/>
      <c r="N70" s="219"/>
      <c r="O70" s="219"/>
      <c r="P70" s="219"/>
      <c r="Q70" s="219"/>
      <c r="R70" s="219"/>
      <c r="S70" s="202"/>
    </row>
    <row r="71" spans="1:19" x14ac:dyDescent="0.3">
      <c r="A71" s="169">
        <v>45772</v>
      </c>
      <c r="B71" s="159">
        <f t="shared" si="14"/>
        <v>2025</v>
      </c>
      <c r="C71" s="159">
        <f t="shared" si="15"/>
        <v>4</v>
      </c>
      <c r="D71" s="190">
        <f>AVERAGEIFS(data!G:G,data!A:A,'monthly-forecast'!B71,data!B:B,'monthly-forecast'!C71)</f>
        <v>315</v>
      </c>
      <c r="E71" s="190">
        <f>AVERAGEIFS(data!F:F,data!A:A,'monthly-forecast'!B71,data!B:B,'monthly-forecast'!C71)</f>
        <v>305</v>
      </c>
      <c r="F71" s="190">
        <f t="shared" si="16"/>
        <v>315</v>
      </c>
      <c r="G71" s="190">
        <f t="shared" si="17"/>
        <v>305</v>
      </c>
      <c r="H71" s="190">
        <v>220</v>
      </c>
      <c r="I71" s="190">
        <v>302.5</v>
      </c>
      <c r="J71" s="190">
        <v>345</v>
      </c>
      <c r="K71" s="170">
        <v>2.9823999999999997</v>
      </c>
      <c r="L71" s="217">
        <f>AVERAGE(D71:D74)</f>
        <v>315</v>
      </c>
      <c r="M71" s="217">
        <f>AVERAGE(E71:E74)</f>
        <v>305</v>
      </c>
      <c r="N71" s="217">
        <f>AVERAGE(D71:D74)</f>
        <v>315</v>
      </c>
      <c r="O71" s="217">
        <f>AVERAGE(E71:E74)</f>
        <v>305</v>
      </c>
      <c r="P71" s="217">
        <f t="shared" ref="P71:S71" si="29">AVERAGE(H71:H74)</f>
        <v>224.375</v>
      </c>
      <c r="Q71" s="217">
        <f t="shared" si="29"/>
        <v>302.5</v>
      </c>
      <c r="R71" s="217">
        <f t="shared" si="29"/>
        <v>341.25</v>
      </c>
      <c r="S71" s="200">
        <f t="shared" si="29"/>
        <v>3.4732250000000002</v>
      </c>
    </row>
    <row r="72" spans="1:19" x14ac:dyDescent="0.3">
      <c r="A72" s="169">
        <v>45765</v>
      </c>
      <c r="B72" s="159">
        <f t="shared" si="14"/>
        <v>2025</v>
      </c>
      <c r="C72" s="159">
        <f t="shared" si="15"/>
        <v>4</v>
      </c>
      <c r="D72" s="190">
        <f>AVERAGEIFS(data!G:G,data!A:A,'monthly-forecast'!B72,data!B:B,'monthly-forecast'!C72)</f>
        <v>315</v>
      </c>
      <c r="E72" s="190">
        <f>AVERAGEIFS(data!F:F,data!A:A,'monthly-forecast'!B72,data!B:B,'monthly-forecast'!C72)</f>
        <v>305</v>
      </c>
      <c r="F72" s="190">
        <f t="shared" si="16"/>
        <v>315</v>
      </c>
      <c r="G72" s="190">
        <f t="shared" si="17"/>
        <v>305</v>
      </c>
      <c r="H72" s="190">
        <v>227.5</v>
      </c>
      <c r="I72" s="190">
        <v>302.5</v>
      </c>
      <c r="J72" s="190">
        <v>345</v>
      </c>
      <c r="K72" s="170">
        <v>3.2865000000000002</v>
      </c>
      <c r="L72" s="218"/>
      <c r="M72" s="218"/>
      <c r="N72" s="218"/>
      <c r="O72" s="218"/>
      <c r="P72" s="218"/>
      <c r="Q72" s="218"/>
      <c r="R72" s="218"/>
      <c r="S72" s="201"/>
    </row>
    <row r="73" spans="1:19" x14ac:dyDescent="0.3">
      <c r="A73" s="169">
        <v>45758</v>
      </c>
      <c r="B73" s="159">
        <f t="shared" si="14"/>
        <v>2025</v>
      </c>
      <c r="C73" s="159">
        <f t="shared" si="15"/>
        <v>4</v>
      </c>
      <c r="D73" s="190">
        <f>AVERAGEIFS(data!G:G,data!A:A,'monthly-forecast'!B73,data!B:B,'monthly-forecast'!C73)</f>
        <v>315</v>
      </c>
      <c r="E73" s="190">
        <f>AVERAGEIFS(data!F:F,data!A:A,'monthly-forecast'!B73,data!B:B,'monthly-forecast'!C73)</f>
        <v>305</v>
      </c>
      <c r="F73" s="190">
        <f t="shared" si="16"/>
        <v>315</v>
      </c>
      <c r="G73" s="190">
        <f t="shared" si="17"/>
        <v>305</v>
      </c>
      <c r="H73" s="190">
        <v>227.5</v>
      </c>
      <c r="I73" s="190">
        <v>302.5</v>
      </c>
      <c r="J73" s="190">
        <v>345</v>
      </c>
      <c r="K73" s="170">
        <v>3.6040000000000001</v>
      </c>
      <c r="L73" s="218"/>
      <c r="M73" s="218"/>
      <c r="N73" s="218"/>
      <c r="O73" s="218"/>
      <c r="P73" s="218"/>
      <c r="Q73" s="218"/>
      <c r="R73" s="218"/>
      <c r="S73" s="201"/>
    </row>
    <row r="74" spans="1:19" x14ac:dyDescent="0.3">
      <c r="A74" s="169">
        <v>45751</v>
      </c>
      <c r="B74" s="159">
        <f t="shared" si="14"/>
        <v>2025</v>
      </c>
      <c r="C74" s="159">
        <f t="shared" si="15"/>
        <v>4</v>
      </c>
      <c r="D74" s="190">
        <f>AVERAGEIFS(data!G:G,data!A:A,'monthly-forecast'!B74,data!B:B,'monthly-forecast'!C74)</f>
        <v>315</v>
      </c>
      <c r="E74" s="190">
        <f>AVERAGEIFS(data!F:F,data!A:A,'monthly-forecast'!B74,data!B:B,'monthly-forecast'!C74)</f>
        <v>305</v>
      </c>
      <c r="F74" s="190">
        <f t="shared" si="16"/>
        <v>315</v>
      </c>
      <c r="G74" s="190">
        <f t="shared" si="17"/>
        <v>305</v>
      </c>
      <c r="H74" s="190">
        <v>222.5</v>
      </c>
      <c r="I74" s="190">
        <v>302.5</v>
      </c>
      <c r="J74" s="190">
        <v>330</v>
      </c>
      <c r="K74" s="170">
        <v>4.0200000000000005</v>
      </c>
      <c r="L74" s="219"/>
      <c r="M74" s="219"/>
      <c r="N74" s="219"/>
      <c r="O74" s="219"/>
      <c r="P74" s="219"/>
      <c r="Q74" s="219"/>
      <c r="R74" s="219"/>
      <c r="S74" s="202"/>
    </row>
    <row r="75" spans="1:19" x14ac:dyDescent="0.3">
      <c r="A75" s="169">
        <v>45744</v>
      </c>
      <c r="B75" s="159">
        <f t="shared" si="14"/>
        <v>2025</v>
      </c>
      <c r="C75" s="159">
        <f t="shared" si="15"/>
        <v>3</v>
      </c>
      <c r="D75" s="190">
        <f>AVERAGEIFS(data!G:G,data!A:A,'monthly-forecast'!B75,data!B:B,'monthly-forecast'!C75)</f>
        <v>311</v>
      </c>
      <c r="E75" s="190">
        <f>AVERAGEIFS(data!F:F,data!A:A,'monthly-forecast'!B75,data!B:B,'monthly-forecast'!C75)</f>
        <v>301</v>
      </c>
      <c r="F75" s="190">
        <f t="shared" si="16"/>
        <v>311</v>
      </c>
      <c r="G75" s="190">
        <f t="shared" si="17"/>
        <v>301</v>
      </c>
      <c r="H75" s="190">
        <v>227.5</v>
      </c>
      <c r="I75" s="190">
        <v>302.5</v>
      </c>
      <c r="J75" s="190">
        <v>310</v>
      </c>
      <c r="K75" s="170">
        <v>3.9260000000000006</v>
      </c>
      <c r="L75" s="217">
        <f>AVERAGE(D75:D78)</f>
        <v>311</v>
      </c>
      <c r="M75" s="217">
        <f>AVERAGE(E75:E78)</f>
        <v>301</v>
      </c>
      <c r="N75" s="217">
        <f>AVERAGE(D75:D78)</f>
        <v>311</v>
      </c>
      <c r="O75" s="217">
        <f>AVERAGE(E75:E78)</f>
        <v>301</v>
      </c>
      <c r="P75" s="217">
        <f t="shared" ref="P75:S75" si="30">AVERAGE(H75:H78)</f>
        <v>236.25</v>
      </c>
      <c r="Q75" s="217">
        <f t="shared" si="30"/>
        <v>308.75</v>
      </c>
      <c r="R75" s="217">
        <f t="shared" si="30"/>
        <v>352.5</v>
      </c>
      <c r="S75" s="200">
        <f t="shared" si="30"/>
        <v>4.1383999999999999</v>
      </c>
    </row>
    <row r="76" spans="1:19" x14ac:dyDescent="0.3">
      <c r="A76" s="169">
        <v>45737</v>
      </c>
      <c r="B76" s="159">
        <f t="shared" si="14"/>
        <v>2025</v>
      </c>
      <c r="C76" s="159">
        <f t="shared" si="15"/>
        <v>3</v>
      </c>
      <c r="D76" s="190">
        <f>AVERAGEIFS(data!G:G,data!A:A,'monthly-forecast'!B76,data!B:B,'monthly-forecast'!C76)</f>
        <v>311</v>
      </c>
      <c r="E76" s="190">
        <f>AVERAGEIFS(data!F:F,data!A:A,'monthly-forecast'!B76,data!B:B,'monthly-forecast'!C76)</f>
        <v>301</v>
      </c>
      <c r="F76" s="190">
        <f t="shared" si="16"/>
        <v>311</v>
      </c>
      <c r="G76" s="190">
        <f t="shared" si="17"/>
        <v>301</v>
      </c>
      <c r="H76" s="190">
        <v>240</v>
      </c>
      <c r="I76" s="190">
        <v>302.5</v>
      </c>
      <c r="J76" s="190">
        <v>325</v>
      </c>
      <c r="K76" s="170">
        <v>4.0543999999999993</v>
      </c>
      <c r="L76" s="218"/>
      <c r="M76" s="218"/>
      <c r="N76" s="218"/>
      <c r="O76" s="218"/>
      <c r="P76" s="218"/>
      <c r="Q76" s="218"/>
      <c r="R76" s="218"/>
      <c r="S76" s="201"/>
    </row>
    <row r="77" spans="1:19" x14ac:dyDescent="0.3">
      <c r="A77" s="169">
        <v>45730</v>
      </c>
      <c r="B77" s="159">
        <f t="shared" si="14"/>
        <v>2025</v>
      </c>
      <c r="C77" s="159">
        <f t="shared" si="15"/>
        <v>3</v>
      </c>
      <c r="D77" s="190">
        <f>AVERAGEIFS(data!G:G,data!A:A,'monthly-forecast'!B77,data!B:B,'monthly-forecast'!C77)</f>
        <v>311</v>
      </c>
      <c r="E77" s="190">
        <f>AVERAGEIFS(data!F:F,data!A:A,'monthly-forecast'!B77,data!B:B,'monthly-forecast'!C77)</f>
        <v>301</v>
      </c>
      <c r="F77" s="190">
        <f t="shared" si="16"/>
        <v>311</v>
      </c>
      <c r="G77" s="190">
        <f t="shared" si="17"/>
        <v>301</v>
      </c>
      <c r="H77" s="190">
        <v>240</v>
      </c>
      <c r="I77" s="190">
        <v>315</v>
      </c>
      <c r="J77" s="190">
        <v>385</v>
      </c>
      <c r="K77" s="170">
        <v>4.2485999999999997</v>
      </c>
      <c r="L77" s="218"/>
      <c r="M77" s="218"/>
      <c r="N77" s="218"/>
      <c r="O77" s="218"/>
      <c r="P77" s="218"/>
      <c r="Q77" s="218"/>
      <c r="R77" s="218"/>
      <c r="S77" s="201"/>
    </row>
    <row r="78" spans="1:19" x14ac:dyDescent="0.3">
      <c r="A78" s="169">
        <v>45723</v>
      </c>
      <c r="B78" s="159">
        <f t="shared" si="14"/>
        <v>2025</v>
      </c>
      <c r="C78" s="159">
        <f t="shared" si="15"/>
        <v>3</v>
      </c>
      <c r="D78" s="190">
        <f>AVERAGEIFS(data!G:G,data!A:A,'monthly-forecast'!B78,data!B:B,'monthly-forecast'!C78)</f>
        <v>311</v>
      </c>
      <c r="E78" s="190">
        <f>AVERAGEIFS(data!F:F,data!A:A,'monthly-forecast'!B78,data!B:B,'monthly-forecast'!C78)</f>
        <v>301</v>
      </c>
      <c r="F78" s="190">
        <f t="shared" si="16"/>
        <v>311</v>
      </c>
      <c r="G78" s="190">
        <f t="shared" si="17"/>
        <v>301</v>
      </c>
      <c r="H78" s="190">
        <v>237.5</v>
      </c>
      <c r="I78" s="190">
        <v>315</v>
      </c>
      <c r="J78" s="190">
        <v>390</v>
      </c>
      <c r="K78" s="170">
        <v>4.3245999999999993</v>
      </c>
      <c r="L78" s="219"/>
      <c r="M78" s="219"/>
      <c r="N78" s="219"/>
      <c r="O78" s="219"/>
      <c r="P78" s="219"/>
      <c r="Q78" s="219"/>
      <c r="R78" s="219"/>
      <c r="S78" s="202"/>
    </row>
    <row r="79" spans="1:19" x14ac:dyDescent="0.3">
      <c r="A79" s="169">
        <v>45716</v>
      </c>
      <c r="B79" s="159">
        <f t="shared" si="14"/>
        <v>2025</v>
      </c>
      <c r="C79" s="159">
        <f t="shared" si="15"/>
        <v>2</v>
      </c>
      <c r="D79" s="190">
        <f>AVERAGEIFS(data!G:G,data!A:A,'monthly-forecast'!B79,data!B:B,'monthly-forecast'!C79)</f>
        <v>310</v>
      </c>
      <c r="E79" s="190">
        <f>AVERAGEIFS(data!F:F,data!A:A,'monthly-forecast'!B79,data!B:B,'monthly-forecast'!C79)</f>
        <v>308</v>
      </c>
      <c r="F79" s="190">
        <f t="shared" si="16"/>
        <v>310</v>
      </c>
      <c r="G79" s="190">
        <f t="shared" si="17"/>
        <v>308</v>
      </c>
      <c r="H79" s="190">
        <v>237.5</v>
      </c>
      <c r="I79" s="190">
        <v>315</v>
      </c>
      <c r="J79" s="190">
        <v>390</v>
      </c>
      <c r="K79" s="170">
        <v>3.9684000000000004</v>
      </c>
      <c r="L79" s="217">
        <f>AVERAGE(D79:D82)</f>
        <v>310</v>
      </c>
      <c r="M79" s="217">
        <f>AVERAGE(E79:E82)</f>
        <v>308</v>
      </c>
      <c r="N79" s="217">
        <f>AVERAGE(D79:D82)</f>
        <v>310</v>
      </c>
      <c r="O79" s="217">
        <f>AVERAGE(E79:E82)</f>
        <v>308</v>
      </c>
      <c r="P79" s="217">
        <f t="shared" ref="P79:S79" si="31">AVERAGE(H79:H82)</f>
        <v>240</v>
      </c>
      <c r="Q79" s="217">
        <f t="shared" si="31"/>
        <v>343.125</v>
      </c>
      <c r="R79" s="217">
        <f t="shared" si="31"/>
        <v>383.75</v>
      </c>
      <c r="S79" s="200">
        <f t="shared" si="31"/>
        <v>3.7623125000000002</v>
      </c>
    </row>
    <row r="80" spans="1:19" x14ac:dyDescent="0.3">
      <c r="A80" s="169">
        <v>45709</v>
      </c>
      <c r="B80" s="159">
        <f t="shared" si="14"/>
        <v>2025</v>
      </c>
      <c r="C80" s="159">
        <f t="shared" si="15"/>
        <v>2</v>
      </c>
      <c r="D80" s="190">
        <f>AVERAGEIFS(data!G:G,data!A:A,'monthly-forecast'!B80,data!B:B,'monthly-forecast'!C80)</f>
        <v>310</v>
      </c>
      <c r="E80" s="190">
        <f>AVERAGEIFS(data!F:F,data!A:A,'monthly-forecast'!B80,data!B:B,'monthly-forecast'!C80)</f>
        <v>308</v>
      </c>
      <c r="F80" s="190">
        <f t="shared" si="16"/>
        <v>310</v>
      </c>
      <c r="G80" s="190">
        <f t="shared" si="17"/>
        <v>308</v>
      </c>
      <c r="H80" s="190">
        <v>237.5</v>
      </c>
      <c r="I80" s="190">
        <v>352.5</v>
      </c>
      <c r="J80" s="190">
        <v>395</v>
      </c>
      <c r="K80" s="170">
        <v>4.1682500000000005</v>
      </c>
      <c r="L80" s="218"/>
      <c r="M80" s="218"/>
      <c r="N80" s="218"/>
      <c r="O80" s="218"/>
      <c r="P80" s="218"/>
      <c r="Q80" s="218"/>
      <c r="R80" s="218"/>
      <c r="S80" s="201"/>
    </row>
    <row r="81" spans="1:19" x14ac:dyDescent="0.3">
      <c r="A81" s="169">
        <v>45702</v>
      </c>
      <c r="B81" s="159">
        <f t="shared" si="14"/>
        <v>2025</v>
      </c>
      <c r="C81" s="159">
        <f t="shared" si="15"/>
        <v>2</v>
      </c>
      <c r="D81" s="190">
        <f>AVERAGEIFS(data!G:G,data!A:A,'monthly-forecast'!B81,data!B:B,'monthly-forecast'!C81)</f>
        <v>310</v>
      </c>
      <c r="E81" s="190">
        <f>AVERAGEIFS(data!F:F,data!A:A,'monthly-forecast'!B81,data!B:B,'monthly-forecast'!C81)</f>
        <v>308</v>
      </c>
      <c r="F81" s="190">
        <f t="shared" si="16"/>
        <v>310</v>
      </c>
      <c r="G81" s="190">
        <f t="shared" si="17"/>
        <v>308</v>
      </c>
      <c r="H81" s="190">
        <v>242.5</v>
      </c>
      <c r="I81" s="190">
        <v>352.5</v>
      </c>
      <c r="J81" s="190">
        <v>375</v>
      </c>
      <c r="K81" s="170">
        <v>3.5762</v>
      </c>
      <c r="L81" s="218"/>
      <c r="M81" s="218"/>
      <c r="N81" s="218"/>
      <c r="O81" s="218"/>
      <c r="P81" s="218"/>
      <c r="Q81" s="218"/>
      <c r="R81" s="218"/>
      <c r="S81" s="201"/>
    </row>
    <row r="82" spans="1:19" x14ac:dyDescent="0.3">
      <c r="A82" s="169">
        <v>45695</v>
      </c>
      <c r="B82" s="159">
        <f t="shared" si="14"/>
        <v>2025</v>
      </c>
      <c r="C82" s="159">
        <f t="shared" si="15"/>
        <v>2</v>
      </c>
      <c r="D82" s="190">
        <f>AVERAGEIFS(data!G:G,data!A:A,'monthly-forecast'!B82,data!B:B,'monthly-forecast'!C82)</f>
        <v>310</v>
      </c>
      <c r="E82" s="190">
        <f>AVERAGEIFS(data!F:F,data!A:A,'monthly-forecast'!B82,data!B:B,'monthly-forecast'!C82)</f>
        <v>308</v>
      </c>
      <c r="F82" s="190">
        <f t="shared" si="16"/>
        <v>310</v>
      </c>
      <c r="G82" s="190">
        <f t="shared" si="17"/>
        <v>308</v>
      </c>
      <c r="H82" s="190">
        <v>242.5</v>
      </c>
      <c r="I82" s="190">
        <v>352.5</v>
      </c>
      <c r="J82" s="190">
        <v>375</v>
      </c>
      <c r="K82" s="170">
        <v>3.3363999999999998</v>
      </c>
      <c r="L82" s="219"/>
      <c r="M82" s="219"/>
      <c r="N82" s="219"/>
      <c r="O82" s="219"/>
      <c r="P82" s="219"/>
      <c r="Q82" s="219"/>
      <c r="R82" s="219"/>
      <c r="S82" s="202"/>
    </row>
    <row r="83" spans="1:19" x14ac:dyDescent="0.3">
      <c r="A83" s="169">
        <v>45688</v>
      </c>
      <c r="B83" s="159">
        <f t="shared" si="14"/>
        <v>2025</v>
      </c>
      <c r="C83" s="159">
        <f t="shared" si="15"/>
        <v>1</v>
      </c>
      <c r="D83" s="190">
        <f>AVERAGEIFS(data!G:G,data!A:A,'monthly-forecast'!B83,data!B:B,'monthly-forecast'!C83)</f>
        <v>301</v>
      </c>
      <c r="E83" s="190">
        <f>AVERAGEIFS(data!F:F,data!A:A,'monthly-forecast'!B83,data!B:B,'monthly-forecast'!C83)</f>
        <v>276</v>
      </c>
      <c r="F83" s="190">
        <f t="shared" si="16"/>
        <v>301</v>
      </c>
      <c r="G83" s="190">
        <f t="shared" si="17"/>
        <v>276</v>
      </c>
      <c r="H83" s="190">
        <v>225</v>
      </c>
      <c r="I83" s="190">
        <v>352.5</v>
      </c>
      <c r="J83" s="190">
        <v>362.5</v>
      </c>
      <c r="K83" s="170">
        <v>3.3588</v>
      </c>
      <c r="L83" s="217">
        <f>AVERAGE(D83:D87)</f>
        <v>301</v>
      </c>
      <c r="M83" s="217">
        <f>AVERAGE(E83:E87)</f>
        <v>276</v>
      </c>
      <c r="N83" s="217">
        <f>AVERAGE(D83:D87)</f>
        <v>301</v>
      </c>
      <c r="O83" s="217">
        <f>AVERAGE(E83:E87)</f>
        <v>276</v>
      </c>
      <c r="P83" s="217">
        <f t="shared" ref="P83:S83" si="32">AVERAGE(H83:H87)</f>
        <v>221.4</v>
      </c>
      <c r="Q83" s="217">
        <f t="shared" si="32"/>
        <v>398.5</v>
      </c>
      <c r="R83" s="217">
        <f t="shared" si="32"/>
        <v>344.5</v>
      </c>
      <c r="S83" s="200">
        <f t="shared" si="32"/>
        <v>3.7314299999999996</v>
      </c>
    </row>
    <row r="84" spans="1:19" x14ac:dyDescent="0.3">
      <c r="A84" s="169">
        <v>45681</v>
      </c>
      <c r="B84" s="159">
        <f t="shared" si="14"/>
        <v>2025</v>
      </c>
      <c r="C84" s="159">
        <f t="shared" si="15"/>
        <v>1</v>
      </c>
      <c r="D84" s="190">
        <f>AVERAGEIFS(data!G:G,data!A:A,'monthly-forecast'!B84,data!B:B,'monthly-forecast'!C84)</f>
        <v>301</v>
      </c>
      <c r="E84" s="190">
        <f>AVERAGEIFS(data!F:F,data!A:A,'monthly-forecast'!B84,data!B:B,'monthly-forecast'!C84)</f>
        <v>276</v>
      </c>
      <c r="F84" s="190">
        <f t="shared" si="16"/>
        <v>301</v>
      </c>
      <c r="G84" s="190">
        <f t="shared" si="17"/>
        <v>276</v>
      </c>
      <c r="H84" s="190">
        <v>225</v>
      </c>
      <c r="I84" s="190">
        <v>410</v>
      </c>
      <c r="J84" s="190">
        <v>362.5</v>
      </c>
      <c r="K84" s="170">
        <v>3.9219999999999997</v>
      </c>
      <c r="L84" s="218"/>
      <c r="M84" s="218"/>
      <c r="N84" s="218"/>
      <c r="O84" s="218"/>
      <c r="P84" s="218"/>
      <c r="Q84" s="218"/>
      <c r="R84" s="218"/>
      <c r="S84" s="201"/>
    </row>
    <row r="85" spans="1:19" x14ac:dyDescent="0.3">
      <c r="A85" s="169">
        <v>45674</v>
      </c>
      <c r="B85" s="159">
        <f t="shared" si="14"/>
        <v>2025</v>
      </c>
      <c r="C85" s="159">
        <f t="shared" si="15"/>
        <v>1</v>
      </c>
      <c r="D85" s="190">
        <f>AVERAGEIFS(data!G:G,data!A:A,'monthly-forecast'!B85,data!B:B,'monthly-forecast'!C85)</f>
        <v>301</v>
      </c>
      <c r="E85" s="190">
        <f>AVERAGEIFS(data!F:F,data!A:A,'monthly-forecast'!B85,data!B:B,'monthly-forecast'!C85)</f>
        <v>276</v>
      </c>
      <c r="F85" s="190">
        <f t="shared" si="16"/>
        <v>301</v>
      </c>
      <c r="G85" s="190">
        <f t="shared" si="17"/>
        <v>276</v>
      </c>
      <c r="H85" s="190">
        <v>219</v>
      </c>
      <c r="I85" s="190">
        <v>410</v>
      </c>
      <c r="J85" s="190">
        <v>362.5</v>
      </c>
      <c r="K85" s="170">
        <v>4.0381999999999998</v>
      </c>
      <c r="L85" s="218"/>
      <c r="M85" s="218"/>
      <c r="N85" s="218"/>
      <c r="O85" s="218"/>
      <c r="P85" s="218"/>
      <c r="Q85" s="218"/>
      <c r="R85" s="218"/>
      <c r="S85" s="201"/>
    </row>
    <row r="86" spans="1:19" x14ac:dyDescent="0.3">
      <c r="A86" s="169">
        <v>45667</v>
      </c>
      <c r="B86" s="159">
        <f t="shared" si="14"/>
        <v>2025</v>
      </c>
      <c r="C86" s="159">
        <f t="shared" si="15"/>
        <v>1</v>
      </c>
      <c r="D86" s="190">
        <f>AVERAGEIFS(data!G:G,data!A:A,'monthly-forecast'!B86,data!B:B,'monthly-forecast'!C86)</f>
        <v>301</v>
      </c>
      <c r="E86" s="190">
        <f>AVERAGEIFS(data!F:F,data!A:A,'monthly-forecast'!B86,data!B:B,'monthly-forecast'!C86)</f>
        <v>276</v>
      </c>
      <c r="F86" s="190">
        <f t="shared" si="16"/>
        <v>301</v>
      </c>
      <c r="G86" s="190">
        <f t="shared" si="17"/>
        <v>276</v>
      </c>
      <c r="H86" s="190">
        <v>219</v>
      </c>
      <c r="I86" s="190">
        <v>410</v>
      </c>
      <c r="J86" s="190">
        <v>317.5</v>
      </c>
      <c r="K86" s="170">
        <v>3.6924000000000001</v>
      </c>
      <c r="L86" s="218"/>
      <c r="M86" s="218"/>
      <c r="N86" s="218"/>
      <c r="O86" s="218"/>
      <c r="P86" s="218"/>
      <c r="Q86" s="218"/>
      <c r="R86" s="218"/>
      <c r="S86" s="201"/>
    </row>
    <row r="87" spans="1:19" x14ac:dyDescent="0.3">
      <c r="A87" s="169">
        <v>45660</v>
      </c>
      <c r="B87" s="159">
        <f t="shared" si="14"/>
        <v>2025</v>
      </c>
      <c r="C87" s="159">
        <f t="shared" si="15"/>
        <v>1</v>
      </c>
      <c r="D87" s="190">
        <f>AVERAGEIFS(data!G:G,data!A:A,'monthly-forecast'!B87,data!B:B,'monthly-forecast'!C87)</f>
        <v>301</v>
      </c>
      <c r="E87" s="190">
        <f>AVERAGEIFS(data!F:F,data!A:A,'monthly-forecast'!B87,data!B:B,'monthly-forecast'!C87)</f>
        <v>276</v>
      </c>
      <c r="F87" s="190">
        <f t="shared" si="16"/>
        <v>301</v>
      </c>
      <c r="G87" s="190">
        <f t="shared" si="17"/>
        <v>276</v>
      </c>
      <c r="H87" s="190">
        <v>219</v>
      </c>
      <c r="I87" s="190">
        <v>410</v>
      </c>
      <c r="J87" s="190">
        <v>317.5</v>
      </c>
      <c r="K87" s="170">
        <v>3.64575</v>
      </c>
      <c r="L87" s="219"/>
      <c r="M87" s="219"/>
      <c r="N87" s="219"/>
      <c r="O87" s="219"/>
      <c r="P87" s="219"/>
      <c r="Q87" s="219"/>
      <c r="R87" s="219"/>
      <c r="S87" s="202"/>
    </row>
    <row r="88" spans="1:19" x14ac:dyDescent="0.3">
      <c r="A88" s="169">
        <v>45653</v>
      </c>
      <c r="B88" s="159">
        <f t="shared" si="14"/>
        <v>2024</v>
      </c>
      <c r="C88" s="159">
        <f t="shared" si="15"/>
        <v>12</v>
      </c>
      <c r="D88" s="190">
        <f>AVERAGEIFS(data!G:G,data!A:A,'monthly-forecast'!B88,data!B:B,'monthly-forecast'!C88)</f>
        <v>270</v>
      </c>
      <c r="E88" s="190">
        <f>AVERAGEIFS(data!F:F,data!A:A,'monthly-forecast'!B88,data!B:B,'monthly-forecast'!C88)</f>
        <v>244</v>
      </c>
      <c r="F88" s="190">
        <f t="shared" si="16"/>
        <v>270</v>
      </c>
      <c r="G88" s="190">
        <f t="shared" si="17"/>
        <v>244</v>
      </c>
      <c r="H88" s="190">
        <v>219</v>
      </c>
      <c r="I88" s="190">
        <v>410</v>
      </c>
      <c r="J88" s="190">
        <v>317.5</v>
      </c>
      <c r="K88" s="170">
        <v>3.7077499999999999</v>
      </c>
      <c r="L88" s="217">
        <f>AVERAGE(D88:D91)</f>
        <v>270</v>
      </c>
      <c r="M88" s="217">
        <f>AVERAGE(E88:E91)</f>
        <v>244</v>
      </c>
      <c r="N88" s="217">
        <f>AVERAGE(D88:D91)</f>
        <v>270</v>
      </c>
      <c r="O88" s="217">
        <f>AVERAGE(E88:E91)</f>
        <v>244</v>
      </c>
      <c r="P88" s="217">
        <f t="shared" ref="P88:S88" si="33">AVERAGE(H88:H91)</f>
        <v>220.125</v>
      </c>
      <c r="Q88" s="217">
        <f t="shared" si="33"/>
        <v>415</v>
      </c>
      <c r="R88" s="217">
        <f t="shared" si="33"/>
        <v>312.5</v>
      </c>
      <c r="S88" s="200">
        <f t="shared" si="33"/>
        <v>3.3838874999999997</v>
      </c>
    </row>
    <row r="89" spans="1:19" x14ac:dyDescent="0.3">
      <c r="A89" s="169">
        <v>45646</v>
      </c>
      <c r="B89" s="159">
        <f t="shared" ref="B89:B152" si="34">YEAR(A89)</f>
        <v>2024</v>
      </c>
      <c r="C89" s="159">
        <f t="shared" ref="C89:C152" si="35">MONTH(A89)</f>
        <v>12</v>
      </c>
      <c r="D89" s="190">
        <f>AVERAGEIFS(data!G:G,data!A:A,'monthly-forecast'!B89,data!B:B,'monthly-forecast'!C89)</f>
        <v>270</v>
      </c>
      <c r="E89" s="190">
        <f>AVERAGEIFS(data!F:F,data!A:A,'monthly-forecast'!B89,data!B:B,'monthly-forecast'!C89)</f>
        <v>244</v>
      </c>
      <c r="F89" s="190">
        <f t="shared" ref="F89:F152" si="36">D89</f>
        <v>270</v>
      </c>
      <c r="G89" s="190">
        <f t="shared" ref="G89:G152" si="37">E89</f>
        <v>244</v>
      </c>
      <c r="H89" s="190">
        <v>219</v>
      </c>
      <c r="I89" s="190">
        <v>410</v>
      </c>
      <c r="J89" s="190">
        <v>317.5</v>
      </c>
      <c r="K89" s="170">
        <v>3.4456000000000002</v>
      </c>
      <c r="L89" s="218"/>
      <c r="M89" s="218"/>
      <c r="N89" s="218"/>
      <c r="O89" s="218"/>
      <c r="P89" s="218"/>
      <c r="Q89" s="218"/>
      <c r="R89" s="218"/>
      <c r="S89" s="201"/>
    </row>
    <row r="90" spans="1:19" x14ac:dyDescent="0.3">
      <c r="A90" s="169">
        <v>45639</v>
      </c>
      <c r="B90" s="159">
        <f t="shared" si="34"/>
        <v>2024</v>
      </c>
      <c r="C90" s="159">
        <f t="shared" si="35"/>
        <v>12</v>
      </c>
      <c r="D90" s="190">
        <f>AVERAGEIFS(data!G:G,data!A:A,'monthly-forecast'!B90,data!B:B,'monthly-forecast'!C90)</f>
        <v>270</v>
      </c>
      <c r="E90" s="190">
        <f>AVERAGEIFS(data!F:F,data!A:A,'monthly-forecast'!B90,data!B:B,'monthly-forecast'!C90)</f>
        <v>244</v>
      </c>
      <c r="F90" s="190">
        <f t="shared" si="36"/>
        <v>270</v>
      </c>
      <c r="G90" s="190">
        <f t="shared" si="37"/>
        <v>244</v>
      </c>
      <c r="H90" s="190">
        <v>220</v>
      </c>
      <c r="I90" s="190">
        <v>410</v>
      </c>
      <c r="J90" s="190">
        <v>307.5</v>
      </c>
      <c r="K90" s="170">
        <v>3.2915999999999999</v>
      </c>
      <c r="L90" s="218"/>
      <c r="M90" s="218"/>
      <c r="N90" s="218"/>
      <c r="O90" s="218"/>
      <c r="P90" s="218"/>
      <c r="Q90" s="218"/>
      <c r="R90" s="218"/>
      <c r="S90" s="201"/>
    </row>
    <row r="91" spans="1:19" x14ac:dyDescent="0.3">
      <c r="A91" s="169">
        <v>45632</v>
      </c>
      <c r="B91" s="159">
        <f t="shared" si="34"/>
        <v>2024</v>
      </c>
      <c r="C91" s="159">
        <f t="shared" si="35"/>
        <v>12</v>
      </c>
      <c r="D91" s="190">
        <f>AVERAGEIFS(data!G:G,data!A:A,'monthly-forecast'!B91,data!B:B,'monthly-forecast'!C91)</f>
        <v>270</v>
      </c>
      <c r="E91" s="190">
        <f>AVERAGEIFS(data!F:F,data!A:A,'monthly-forecast'!B91,data!B:B,'monthly-forecast'!C91)</f>
        <v>244</v>
      </c>
      <c r="F91" s="190">
        <f t="shared" si="36"/>
        <v>270</v>
      </c>
      <c r="G91" s="190">
        <f t="shared" si="37"/>
        <v>244</v>
      </c>
      <c r="H91" s="190">
        <v>222.5</v>
      </c>
      <c r="I91" s="190">
        <v>430</v>
      </c>
      <c r="J91" s="190">
        <v>307.5</v>
      </c>
      <c r="K91" s="170">
        <v>3.0905999999999998</v>
      </c>
      <c r="L91" s="219"/>
      <c r="M91" s="219"/>
      <c r="N91" s="219"/>
      <c r="O91" s="219"/>
      <c r="P91" s="219"/>
      <c r="Q91" s="219"/>
      <c r="R91" s="219"/>
      <c r="S91" s="202"/>
    </row>
    <row r="92" spans="1:19" x14ac:dyDescent="0.3">
      <c r="A92" s="169">
        <v>45625</v>
      </c>
      <c r="B92" s="159">
        <f t="shared" si="34"/>
        <v>2024</v>
      </c>
      <c r="C92" s="159">
        <f t="shared" si="35"/>
        <v>11</v>
      </c>
      <c r="D92" s="190">
        <f>AVERAGEIFS(data!G:G,data!A:A,'monthly-forecast'!B92,data!B:B,'monthly-forecast'!C92)</f>
        <v>270</v>
      </c>
      <c r="E92" s="190">
        <f>AVERAGEIFS(data!F:F,data!A:A,'monthly-forecast'!B92,data!B:B,'monthly-forecast'!C92)</f>
        <v>265</v>
      </c>
      <c r="F92" s="190">
        <f t="shared" si="36"/>
        <v>270</v>
      </c>
      <c r="G92" s="190">
        <f t="shared" si="37"/>
        <v>265</v>
      </c>
      <c r="H92" s="190">
        <v>222.5</v>
      </c>
      <c r="I92" s="190">
        <v>430</v>
      </c>
      <c r="J92" s="190">
        <v>312.5</v>
      </c>
      <c r="K92" s="170">
        <v>3.3417500000000002</v>
      </c>
      <c r="L92" s="217">
        <f>AVERAGE(D92:D96)</f>
        <v>270</v>
      </c>
      <c r="M92" s="217">
        <f>AVERAGE(E92:E96)</f>
        <v>265</v>
      </c>
      <c r="N92" s="217">
        <f>AVERAGE(D92:D96)</f>
        <v>270</v>
      </c>
      <c r="O92" s="217">
        <f>AVERAGE(E92:E96)</f>
        <v>265</v>
      </c>
      <c r="P92" s="217">
        <f t="shared" ref="P92:S92" si="38">AVERAGE(H92:H96)</f>
        <v>238</v>
      </c>
      <c r="Q92" s="217">
        <f t="shared" si="38"/>
        <v>430</v>
      </c>
      <c r="R92" s="217">
        <f t="shared" si="38"/>
        <v>316.3</v>
      </c>
      <c r="S92" s="200">
        <f t="shared" si="38"/>
        <v>2.9275499999999997</v>
      </c>
    </row>
    <row r="93" spans="1:19" x14ac:dyDescent="0.3">
      <c r="A93" s="169">
        <v>45618</v>
      </c>
      <c r="B93" s="159">
        <f t="shared" si="34"/>
        <v>2024</v>
      </c>
      <c r="C93" s="159">
        <f t="shared" si="35"/>
        <v>11</v>
      </c>
      <c r="D93" s="190">
        <f>AVERAGEIFS(data!G:G,data!A:A,'monthly-forecast'!B93,data!B:B,'monthly-forecast'!C93)</f>
        <v>270</v>
      </c>
      <c r="E93" s="190">
        <f>AVERAGEIFS(data!F:F,data!A:A,'monthly-forecast'!B93,data!B:B,'monthly-forecast'!C93)</f>
        <v>265</v>
      </c>
      <c r="F93" s="190">
        <f t="shared" si="36"/>
        <v>270</v>
      </c>
      <c r="G93" s="190">
        <f t="shared" si="37"/>
        <v>265</v>
      </c>
      <c r="H93" s="190">
        <v>240</v>
      </c>
      <c r="I93" s="190">
        <v>430</v>
      </c>
      <c r="J93" s="190">
        <v>312.5</v>
      </c>
      <c r="K93" s="170">
        <v>3.1263999999999994</v>
      </c>
      <c r="L93" s="218"/>
      <c r="M93" s="218"/>
      <c r="N93" s="218"/>
      <c r="O93" s="218"/>
      <c r="P93" s="218"/>
      <c r="Q93" s="218"/>
      <c r="R93" s="218"/>
      <c r="S93" s="201"/>
    </row>
    <row r="94" spans="1:19" x14ac:dyDescent="0.3">
      <c r="A94" s="169">
        <v>45611</v>
      </c>
      <c r="B94" s="159">
        <f t="shared" si="34"/>
        <v>2024</v>
      </c>
      <c r="C94" s="159">
        <f t="shared" si="35"/>
        <v>11</v>
      </c>
      <c r="D94" s="190">
        <f>AVERAGEIFS(data!G:G,data!A:A,'monthly-forecast'!B94,data!B:B,'monthly-forecast'!C94)</f>
        <v>270</v>
      </c>
      <c r="E94" s="190">
        <f>AVERAGEIFS(data!F:F,data!A:A,'monthly-forecast'!B94,data!B:B,'monthly-forecast'!C94)</f>
        <v>265</v>
      </c>
      <c r="F94" s="190">
        <f t="shared" si="36"/>
        <v>270</v>
      </c>
      <c r="G94" s="190">
        <f t="shared" si="37"/>
        <v>265</v>
      </c>
      <c r="H94" s="190">
        <v>240</v>
      </c>
      <c r="I94" s="190">
        <v>430</v>
      </c>
      <c r="J94" s="190">
        <v>312.5</v>
      </c>
      <c r="K94" s="170">
        <v>2.8836000000000004</v>
      </c>
      <c r="L94" s="218"/>
      <c r="M94" s="218"/>
      <c r="N94" s="218"/>
      <c r="O94" s="218"/>
      <c r="P94" s="218"/>
      <c r="Q94" s="218"/>
      <c r="R94" s="218"/>
      <c r="S94" s="201"/>
    </row>
    <row r="95" spans="1:19" x14ac:dyDescent="0.3">
      <c r="A95" s="169">
        <v>45604</v>
      </c>
      <c r="B95" s="159">
        <f t="shared" si="34"/>
        <v>2024</v>
      </c>
      <c r="C95" s="159">
        <f t="shared" si="35"/>
        <v>11</v>
      </c>
      <c r="D95" s="190">
        <f>AVERAGEIFS(data!G:G,data!A:A,'monthly-forecast'!B95,data!B:B,'monthly-forecast'!C95)</f>
        <v>270</v>
      </c>
      <c r="E95" s="190">
        <f>AVERAGEIFS(data!F:F,data!A:A,'monthly-forecast'!B95,data!B:B,'monthly-forecast'!C95)</f>
        <v>265</v>
      </c>
      <c r="F95" s="190">
        <f t="shared" si="36"/>
        <v>270</v>
      </c>
      <c r="G95" s="190">
        <f t="shared" si="37"/>
        <v>265</v>
      </c>
      <c r="H95" s="190">
        <v>242.5</v>
      </c>
      <c r="I95" s="190">
        <v>430</v>
      </c>
      <c r="J95" s="190">
        <v>319</v>
      </c>
      <c r="K95" s="170">
        <v>2.7120000000000002</v>
      </c>
      <c r="L95" s="218"/>
      <c r="M95" s="218"/>
      <c r="N95" s="218"/>
      <c r="O95" s="218"/>
      <c r="P95" s="218"/>
      <c r="Q95" s="218"/>
      <c r="R95" s="218"/>
      <c r="S95" s="201"/>
    </row>
    <row r="96" spans="1:19" x14ac:dyDescent="0.3">
      <c r="A96" s="169">
        <v>45597</v>
      </c>
      <c r="B96" s="159">
        <f t="shared" si="34"/>
        <v>2024</v>
      </c>
      <c r="C96" s="159">
        <f t="shared" si="35"/>
        <v>11</v>
      </c>
      <c r="D96" s="190">
        <f>AVERAGEIFS(data!G:G,data!A:A,'monthly-forecast'!B96,data!B:B,'monthly-forecast'!C96)</f>
        <v>270</v>
      </c>
      <c r="E96" s="190">
        <f>AVERAGEIFS(data!F:F,data!A:A,'monthly-forecast'!B96,data!B:B,'monthly-forecast'!C96)</f>
        <v>265</v>
      </c>
      <c r="F96" s="190">
        <f t="shared" si="36"/>
        <v>270</v>
      </c>
      <c r="G96" s="190">
        <f t="shared" si="37"/>
        <v>265</v>
      </c>
      <c r="H96" s="190">
        <v>245</v>
      </c>
      <c r="I96" s="190">
        <v>430</v>
      </c>
      <c r="J96" s="190">
        <v>325</v>
      </c>
      <c r="K96" s="170">
        <v>2.5740000000000003</v>
      </c>
      <c r="L96" s="219"/>
      <c r="M96" s="219"/>
      <c r="N96" s="219"/>
      <c r="O96" s="219"/>
      <c r="P96" s="219"/>
      <c r="Q96" s="219"/>
      <c r="R96" s="219"/>
      <c r="S96" s="202"/>
    </row>
    <row r="97" spans="1:19" x14ac:dyDescent="0.3">
      <c r="A97" s="169">
        <v>45590</v>
      </c>
      <c r="B97" s="159">
        <f t="shared" si="34"/>
        <v>2024</v>
      </c>
      <c r="C97" s="159">
        <f t="shared" si="35"/>
        <v>10</v>
      </c>
      <c r="D97" s="190">
        <f>AVERAGEIFS(data!G:G,data!A:A,'monthly-forecast'!B97,data!B:B,'monthly-forecast'!C97)</f>
        <v>270</v>
      </c>
      <c r="E97" s="190">
        <f>AVERAGEIFS(data!F:F,data!A:A,'monthly-forecast'!B97,data!B:B,'monthly-forecast'!C97)</f>
        <v>259</v>
      </c>
      <c r="F97" s="190">
        <f t="shared" si="36"/>
        <v>270</v>
      </c>
      <c r="G97" s="190">
        <f t="shared" si="37"/>
        <v>259</v>
      </c>
      <c r="H97" s="190">
        <v>247.5</v>
      </c>
      <c r="I97" s="190">
        <v>430</v>
      </c>
      <c r="J97" s="190">
        <v>325</v>
      </c>
      <c r="K97" s="170">
        <v>2.4093999999999998</v>
      </c>
      <c r="L97" s="217">
        <f>AVERAGE(D97:D100)</f>
        <v>270</v>
      </c>
      <c r="M97" s="217">
        <f>AVERAGE(E97:E100)</f>
        <v>259</v>
      </c>
      <c r="N97" s="217">
        <f>AVERAGE(D97:D100)</f>
        <v>270</v>
      </c>
      <c r="O97" s="217">
        <f>AVERAGE(E97:E100)</f>
        <v>259</v>
      </c>
      <c r="P97" s="217">
        <f t="shared" ref="P97:S97" si="39">AVERAGE(H97:H100)</f>
        <v>242.5</v>
      </c>
      <c r="Q97" s="217">
        <f t="shared" si="39"/>
        <v>430</v>
      </c>
      <c r="R97" s="217">
        <f t="shared" si="39"/>
        <v>321.875</v>
      </c>
      <c r="S97" s="200">
        <f t="shared" si="39"/>
        <v>2.5993000000000004</v>
      </c>
    </row>
    <row r="98" spans="1:19" x14ac:dyDescent="0.3">
      <c r="A98" s="169">
        <v>45583</v>
      </c>
      <c r="B98" s="159">
        <f t="shared" si="34"/>
        <v>2024</v>
      </c>
      <c r="C98" s="159">
        <f t="shared" si="35"/>
        <v>10</v>
      </c>
      <c r="D98" s="190">
        <f>AVERAGEIFS(data!G:G,data!A:A,'monthly-forecast'!B98,data!B:B,'monthly-forecast'!C98)</f>
        <v>270</v>
      </c>
      <c r="E98" s="190">
        <f>AVERAGEIFS(data!F:F,data!A:A,'monthly-forecast'!B98,data!B:B,'monthly-forecast'!C98)</f>
        <v>259</v>
      </c>
      <c r="F98" s="190">
        <f t="shared" si="36"/>
        <v>270</v>
      </c>
      <c r="G98" s="190">
        <f t="shared" si="37"/>
        <v>259</v>
      </c>
      <c r="H98" s="190">
        <v>237.5</v>
      </c>
      <c r="I98" s="190">
        <v>430</v>
      </c>
      <c r="J98" s="190">
        <v>325</v>
      </c>
      <c r="K98" s="170">
        <v>2.3928000000000003</v>
      </c>
      <c r="L98" s="218"/>
      <c r="M98" s="218"/>
      <c r="N98" s="218"/>
      <c r="O98" s="218"/>
      <c r="P98" s="218"/>
      <c r="Q98" s="218"/>
      <c r="R98" s="218"/>
      <c r="S98" s="201"/>
    </row>
    <row r="99" spans="1:19" x14ac:dyDescent="0.3">
      <c r="A99" s="169">
        <v>45576</v>
      </c>
      <c r="B99" s="159">
        <f t="shared" si="34"/>
        <v>2024</v>
      </c>
      <c r="C99" s="159">
        <f t="shared" si="35"/>
        <v>10</v>
      </c>
      <c r="D99" s="190">
        <f>AVERAGEIFS(data!G:G,data!A:A,'monthly-forecast'!B99,data!B:B,'monthly-forecast'!C99)</f>
        <v>270</v>
      </c>
      <c r="E99" s="190">
        <f>AVERAGEIFS(data!F:F,data!A:A,'monthly-forecast'!B99,data!B:B,'monthly-forecast'!C99)</f>
        <v>259</v>
      </c>
      <c r="F99" s="190">
        <f t="shared" si="36"/>
        <v>270</v>
      </c>
      <c r="G99" s="190">
        <f t="shared" si="37"/>
        <v>259</v>
      </c>
      <c r="H99" s="190">
        <v>237.5</v>
      </c>
      <c r="I99" s="190">
        <v>430</v>
      </c>
      <c r="J99" s="190">
        <v>330</v>
      </c>
      <c r="K99" s="170">
        <v>2.6892000000000005</v>
      </c>
      <c r="L99" s="218"/>
      <c r="M99" s="218"/>
      <c r="N99" s="218"/>
      <c r="O99" s="218"/>
      <c r="P99" s="218"/>
      <c r="Q99" s="218"/>
      <c r="R99" s="218"/>
      <c r="S99" s="201"/>
    </row>
    <row r="100" spans="1:19" x14ac:dyDescent="0.3">
      <c r="A100" s="169">
        <v>45569</v>
      </c>
      <c r="B100" s="159">
        <f t="shared" si="34"/>
        <v>2024</v>
      </c>
      <c r="C100" s="159">
        <f t="shared" si="35"/>
        <v>10</v>
      </c>
      <c r="D100" s="190">
        <f>AVERAGEIFS(data!G:G,data!A:A,'monthly-forecast'!B100,data!B:B,'monthly-forecast'!C100)</f>
        <v>270</v>
      </c>
      <c r="E100" s="190">
        <f>AVERAGEIFS(data!F:F,data!A:A,'monthly-forecast'!B100,data!B:B,'monthly-forecast'!C100)</f>
        <v>259</v>
      </c>
      <c r="F100" s="190">
        <f t="shared" si="36"/>
        <v>270</v>
      </c>
      <c r="G100" s="190">
        <f t="shared" si="37"/>
        <v>259</v>
      </c>
      <c r="H100" s="190">
        <v>247.5</v>
      </c>
      <c r="I100" s="190">
        <v>430</v>
      </c>
      <c r="J100" s="190">
        <v>307.5</v>
      </c>
      <c r="K100" s="170">
        <v>2.9058000000000002</v>
      </c>
      <c r="L100" s="219"/>
      <c r="M100" s="219"/>
      <c r="N100" s="219"/>
      <c r="O100" s="219"/>
      <c r="P100" s="219"/>
      <c r="Q100" s="219"/>
      <c r="R100" s="219"/>
      <c r="S100" s="202"/>
    </row>
    <row r="101" spans="1:19" x14ac:dyDescent="0.3">
      <c r="A101" s="169">
        <v>45562</v>
      </c>
      <c r="B101" s="159">
        <f t="shared" si="34"/>
        <v>2024</v>
      </c>
      <c r="C101" s="159">
        <f t="shared" si="35"/>
        <v>9</v>
      </c>
      <c r="D101" s="190">
        <f>AVERAGEIFS(data!G:G,data!A:A,'monthly-forecast'!B101,data!B:B,'monthly-forecast'!C101)</f>
        <v>252</v>
      </c>
      <c r="E101" s="190">
        <f>AVERAGEIFS(data!F:F,data!A:A,'monthly-forecast'!B101,data!B:B,'monthly-forecast'!C101)</f>
        <v>229</v>
      </c>
      <c r="F101" s="190">
        <f t="shared" si="36"/>
        <v>252</v>
      </c>
      <c r="G101" s="190">
        <f t="shared" si="37"/>
        <v>229</v>
      </c>
      <c r="H101" s="190">
        <v>247.5</v>
      </c>
      <c r="I101" s="190">
        <v>430</v>
      </c>
      <c r="J101" s="190">
        <v>307.5</v>
      </c>
      <c r="K101" s="170">
        <v>2.6576</v>
      </c>
      <c r="L101" s="217">
        <f>AVERAGE(D101:D104)</f>
        <v>252</v>
      </c>
      <c r="M101" s="217">
        <f>AVERAGE(E101:E104)</f>
        <v>229</v>
      </c>
      <c r="N101" s="217">
        <f>AVERAGE(D101:D104)</f>
        <v>252</v>
      </c>
      <c r="O101" s="217">
        <f>AVERAGE(E101:E104)</f>
        <v>229</v>
      </c>
      <c r="P101" s="217">
        <f t="shared" ref="P101:S101" si="40">AVERAGE(H101:H104)</f>
        <v>248.125</v>
      </c>
      <c r="Q101" s="217">
        <f t="shared" si="40"/>
        <v>388.75</v>
      </c>
      <c r="R101" s="217">
        <f t="shared" si="40"/>
        <v>301.875</v>
      </c>
      <c r="S101" s="200">
        <f t="shared" si="40"/>
        <v>2.3740625</v>
      </c>
    </row>
    <row r="102" spans="1:19" x14ac:dyDescent="0.3">
      <c r="A102" s="169">
        <v>45555</v>
      </c>
      <c r="B102" s="159">
        <f t="shared" si="34"/>
        <v>2024</v>
      </c>
      <c r="C102" s="159">
        <f t="shared" si="35"/>
        <v>9</v>
      </c>
      <c r="D102" s="190">
        <f>AVERAGEIFS(data!G:G,data!A:A,'monthly-forecast'!B102,data!B:B,'monthly-forecast'!C102)</f>
        <v>252</v>
      </c>
      <c r="E102" s="190">
        <f>AVERAGEIFS(data!F:F,data!A:A,'monthly-forecast'!B102,data!B:B,'monthly-forecast'!C102)</f>
        <v>229</v>
      </c>
      <c r="F102" s="190">
        <f t="shared" si="36"/>
        <v>252</v>
      </c>
      <c r="G102" s="190">
        <f t="shared" si="37"/>
        <v>229</v>
      </c>
      <c r="H102" s="190">
        <v>250</v>
      </c>
      <c r="I102" s="190">
        <v>430</v>
      </c>
      <c r="J102" s="190">
        <v>302.5</v>
      </c>
      <c r="K102" s="170">
        <v>2.3526000000000002</v>
      </c>
      <c r="L102" s="218"/>
      <c r="M102" s="218"/>
      <c r="N102" s="218"/>
      <c r="O102" s="218"/>
      <c r="P102" s="218"/>
      <c r="Q102" s="218"/>
      <c r="R102" s="218"/>
      <c r="S102" s="201"/>
    </row>
    <row r="103" spans="1:19" x14ac:dyDescent="0.3">
      <c r="A103" s="169">
        <v>45548</v>
      </c>
      <c r="B103" s="159">
        <f t="shared" si="34"/>
        <v>2024</v>
      </c>
      <c r="C103" s="159">
        <f t="shared" si="35"/>
        <v>9</v>
      </c>
      <c r="D103" s="190">
        <f>AVERAGEIFS(data!G:G,data!A:A,'monthly-forecast'!B103,data!B:B,'monthly-forecast'!C103)</f>
        <v>252</v>
      </c>
      <c r="E103" s="190">
        <f>AVERAGEIFS(data!F:F,data!A:A,'monthly-forecast'!B103,data!B:B,'monthly-forecast'!C103)</f>
        <v>229</v>
      </c>
      <c r="F103" s="190">
        <f t="shared" si="36"/>
        <v>252</v>
      </c>
      <c r="G103" s="190">
        <f t="shared" si="37"/>
        <v>229</v>
      </c>
      <c r="H103" s="190">
        <v>252.5</v>
      </c>
      <c r="I103" s="190">
        <v>347.5</v>
      </c>
      <c r="J103" s="190">
        <v>297.5</v>
      </c>
      <c r="K103" s="170">
        <v>2.2668000000000004</v>
      </c>
      <c r="L103" s="218"/>
      <c r="M103" s="218"/>
      <c r="N103" s="218"/>
      <c r="O103" s="218"/>
      <c r="P103" s="218"/>
      <c r="Q103" s="218"/>
      <c r="R103" s="218"/>
      <c r="S103" s="201"/>
    </row>
    <row r="104" spans="1:19" x14ac:dyDescent="0.3">
      <c r="A104" s="169">
        <v>45541</v>
      </c>
      <c r="B104" s="159">
        <f t="shared" si="34"/>
        <v>2024</v>
      </c>
      <c r="C104" s="159">
        <f t="shared" si="35"/>
        <v>9</v>
      </c>
      <c r="D104" s="190">
        <f>AVERAGEIFS(data!G:G,data!A:A,'monthly-forecast'!B104,data!B:B,'monthly-forecast'!C104)</f>
        <v>252</v>
      </c>
      <c r="E104" s="190">
        <f>AVERAGEIFS(data!F:F,data!A:A,'monthly-forecast'!B104,data!B:B,'monthly-forecast'!C104)</f>
        <v>229</v>
      </c>
      <c r="F104" s="190">
        <f t="shared" si="36"/>
        <v>252</v>
      </c>
      <c r="G104" s="190">
        <f t="shared" si="37"/>
        <v>229</v>
      </c>
      <c r="H104" s="190">
        <v>242.5</v>
      </c>
      <c r="I104" s="190">
        <v>347.5</v>
      </c>
      <c r="J104" s="190">
        <v>300</v>
      </c>
      <c r="K104" s="170">
        <v>2.2192499999999997</v>
      </c>
      <c r="L104" s="219"/>
      <c r="M104" s="219"/>
      <c r="N104" s="219"/>
      <c r="O104" s="219"/>
      <c r="P104" s="219"/>
      <c r="Q104" s="219"/>
      <c r="R104" s="219"/>
      <c r="S104" s="202"/>
    </row>
    <row r="105" spans="1:19" x14ac:dyDescent="0.3">
      <c r="A105" s="169">
        <v>45534</v>
      </c>
      <c r="B105" s="159">
        <f t="shared" si="34"/>
        <v>2024</v>
      </c>
      <c r="C105" s="159">
        <f t="shared" si="35"/>
        <v>8</v>
      </c>
      <c r="D105" s="190">
        <f>AVERAGEIFS(data!G:G,data!A:A,'monthly-forecast'!B105,data!B:B,'monthly-forecast'!C105)</f>
        <v>277</v>
      </c>
      <c r="E105" s="190">
        <f>AVERAGEIFS(data!F:F,data!A:A,'monthly-forecast'!B105,data!B:B,'monthly-forecast'!C105)</f>
        <v>250</v>
      </c>
      <c r="F105" s="190">
        <f t="shared" si="36"/>
        <v>277</v>
      </c>
      <c r="G105" s="190">
        <f t="shared" si="37"/>
        <v>250</v>
      </c>
      <c r="H105" s="190">
        <v>247.5</v>
      </c>
      <c r="I105" s="190">
        <v>360</v>
      </c>
      <c r="J105" s="190">
        <v>302.5</v>
      </c>
      <c r="K105" s="170">
        <v>2.0107999999999997</v>
      </c>
      <c r="L105" s="217">
        <f>AVERAGE(D105:D109)</f>
        <v>277</v>
      </c>
      <c r="M105" s="217">
        <f>AVERAGE(E105:E109)</f>
        <v>250</v>
      </c>
      <c r="N105" s="217">
        <f>AVERAGE(D105:D109)</f>
        <v>277</v>
      </c>
      <c r="O105" s="217">
        <f>AVERAGE(E105:E109)</f>
        <v>250</v>
      </c>
      <c r="P105" s="217">
        <f t="shared" ref="P105:S105" si="41">AVERAGE(H105:H109)</f>
        <v>239</v>
      </c>
      <c r="Q105" s="217">
        <f t="shared" si="41"/>
        <v>345.5</v>
      </c>
      <c r="R105" s="217">
        <f t="shared" si="41"/>
        <v>303</v>
      </c>
      <c r="S105" s="200">
        <f t="shared" si="41"/>
        <v>2.0781199999999993</v>
      </c>
    </row>
    <row r="106" spans="1:19" x14ac:dyDescent="0.3">
      <c r="A106" s="169">
        <v>45527</v>
      </c>
      <c r="B106" s="159">
        <f t="shared" si="34"/>
        <v>2024</v>
      </c>
      <c r="C106" s="159">
        <f t="shared" si="35"/>
        <v>8</v>
      </c>
      <c r="D106" s="190">
        <f>AVERAGEIFS(data!G:G,data!A:A,'monthly-forecast'!B106,data!B:B,'monthly-forecast'!C106)</f>
        <v>277</v>
      </c>
      <c r="E106" s="190">
        <f>AVERAGEIFS(data!F:F,data!A:A,'monthly-forecast'!B106,data!B:B,'monthly-forecast'!C106)</f>
        <v>250</v>
      </c>
      <c r="F106" s="190">
        <f t="shared" si="36"/>
        <v>277</v>
      </c>
      <c r="G106" s="190">
        <f t="shared" si="37"/>
        <v>250</v>
      </c>
      <c r="H106" s="190">
        <v>242.5</v>
      </c>
      <c r="I106" s="190">
        <v>352.5</v>
      </c>
      <c r="J106" s="190">
        <v>300</v>
      </c>
      <c r="K106" s="170">
        <v>2.1369999999999996</v>
      </c>
      <c r="L106" s="218"/>
      <c r="M106" s="218"/>
      <c r="N106" s="218"/>
      <c r="O106" s="218"/>
      <c r="P106" s="218"/>
      <c r="Q106" s="218"/>
      <c r="R106" s="218"/>
      <c r="S106" s="201"/>
    </row>
    <row r="107" spans="1:19" x14ac:dyDescent="0.3">
      <c r="A107" s="169">
        <v>45520</v>
      </c>
      <c r="B107" s="159">
        <f t="shared" si="34"/>
        <v>2024</v>
      </c>
      <c r="C107" s="159">
        <f t="shared" si="35"/>
        <v>8</v>
      </c>
      <c r="D107" s="190">
        <f>AVERAGEIFS(data!G:G,data!A:A,'monthly-forecast'!B107,data!B:B,'monthly-forecast'!C107)</f>
        <v>277</v>
      </c>
      <c r="E107" s="190">
        <f>AVERAGEIFS(data!F:F,data!A:A,'monthly-forecast'!B107,data!B:B,'monthly-forecast'!C107)</f>
        <v>250</v>
      </c>
      <c r="F107" s="190">
        <f t="shared" si="36"/>
        <v>277</v>
      </c>
      <c r="G107" s="190">
        <f t="shared" si="37"/>
        <v>250</v>
      </c>
      <c r="H107" s="190">
        <v>242.5</v>
      </c>
      <c r="I107" s="190">
        <v>355</v>
      </c>
      <c r="J107" s="190">
        <v>300</v>
      </c>
      <c r="K107" s="170">
        <v>2.1751999999999998</v>
      </c>
      <c r="L107" s="218"/>
      <c r="M107" s="218"/>
      <c r="N107" s="218"/>
      <c r="O107" s="218"/>
      <c r="P107" s="218"/>
      <c r="Q107" s="218"/>
      <c r="R107" s="218"/>
      <c r="S107" s="201"/>
    </row>
    <row r="108" spans="1:19" x14ac:dyDescent="0.3">
      <c r="A108" s="169">
        <v>45513</v>
      </c>
      <c r="B108" s="159">
        <f t="shared" si="34"/>
        <v>2024</v>
      </c>
      <c r="C108" s="159">
        <f t="shared" si="35"/>
        <v>8</v>
      </c>
      <c r="D108" s="190">
        <f>AVERAGEIFS(data!G:G,data!A:A,'monthly-forecast'!B108,data!B:B,'monthly-forecast'!C108)</f>
        <v>277</v>
      </c>
      <c r="E108" s="190">
        <f>AVERAGEIFS(data!F:F,data!A:A,'monthly-forecast'!B108,data!B:B,'monthly-forecast'!C108)</f>
        <v>250</v>
      </c>
      <c r="F108" s="190">
        <f t="shared" si="36"/>
        <v>277</v>
      </c>
      <c r="G108" s="190">
        <f t="shared" si="37"/>
        <v>250</v>
      </c>
      <c r="H108" s="190">
        <v>232.5</v>
      </c>
      <c r="I108" s="190">
        <v>355</v>
      </c>
      <c r="J108" s="190">
        <v>305</v>
      </c>
      <c r="K108" s="170">
        <v>2.0667999999999997</v>
      </c>
      <c r="L108" s="218"/>
      <c r="M108" s="218"/>
      <c r="N108" s="218"/>
      <c r="O108" s="218"/>
      <c r="P108" s="218"/>
      <c r="Q108" s="218"/>
      <c r="R108" s="218"/>
      <c r="S108" s="201"/>
    </row>
    <row r="109" spans="1:19" x14ac:dyDescent="0.3">
      <c r="A109" s="169">
        <v>45506</v>
      </c>
      <c r="B109" s="159">
        <f t="shared" si="34"/>
        <v>2024</v>
      </c>
      <c r="C109" s="159">
        <f t="shared" si="35"/>
        <v>8</v>
      </c>
      <c r="D109" s="190">
        <f>AVERAGEIFS(data!G:G,data!A:A,'monthly-forecast'!B109,data!B:B,'monthly-forecast'!C109)</f>
        <v>277</v>
      </c>
      <c r="E109" s="190">
        <f>AVERAGEIFS(data!F:F,data!A:A,'monthly-forecast'!B109,data!B:B,'monthly-forecast'!C109)</f>
        <v>250</v>
      </c>
      <c r="F109" s="190">
        <f t="shared" si="36"/>
        <v>277</v>
      </c>
      <c r="G109" s="190">
        <f t="shared" si="37"/>
        <v>250</v>
      </c>
      <c r="H109" s="190">
        <v>230</v>
      </c>
      <c r="I109" s="190">
        <v>305</v>
      </c>
      <c r="J109" s="190">
        <v>307.5</v>
      </c>
      <c r="K109" s="170">
        <v>2.0007999999999999</v>
      </c>
      <c r="L109" s="219"/>
      <c r="M109" s="219"/>
      <c r="N109" s="219"/>
      <c r="O109" s="219"/>
      <c r="P109" s="219"/>
      <c r="Q109" s="219"/>
      <c r="R109" s="219"/>
      <c r="S109" s="202"/>
    </row>
    <row r="110" spans="1:19" x14ac:dyDescent="0.3">
      <c r="A110" s="169">
        <v>45499</v>
      </c>
      <c r="B110" s="159">
        <f t="shared" si="34"/>
        <v>2024</v>
      </c>
      <c r="C110" s="159">
        <f t="shared" si="35"/>
        <v>7</v>
      </c>
      <c r="D110" s="190">
        <f>AVERAGEIFS(data!G:G,data!A:A,'monthly-forecast'!B110,data!B:B,'monthly-forecast'!C110)</f>
        <v>272</v>
      </c>
      <c r="E110" s="190">
        <f>AVERAGEIFS(data!F:F,data!A:A,'monthly-forecast'!B110,data!B:B,'monthly-forecast'!C110)</f>
        <v>258</v>
      </c>
      <c r="F110" s="190">
        <f t="shared" si="36"/>
        <v>272</v>
      </c>
      <c r="G110" s="190">
        <f t="shared" si="37"/>
        <v>258</v>
      </c>
      <c r="H110" s="190">
        <v>222.5</v>
      </c>
      <c r="I110" s="190">
        <v>305</v>
      </c>
      <c r="J110" s="190">
        <v>307.5</v>
      </c>
      <c r="K110" s="170">
        <v>2.1203999999999996</v>
      </c>
      <c r="L110" s="217">
        <f>AVERAGE(D110:D113)</f>
        <v>272</v>
      </c>
      <c r="M110" s="217">
        <f>AVERAGE(E110:E113)</f>
        <v>258</v>
      </c>
      <c r="N110" s="217">
        <f>AVERAGE(D110:D113)</f>
        <v>272</v>
      </c>
      <c r="O110" s="217">
        <f>AVERAGE(E110:E113)</f>
        <v>258</v>
      </c>
      <c r="P110" s="217">
        <f t="shared" ref="P110:S110" si="42">AVERAGE(H110:H113)</f>
        <v>222.5</v>
      </c>
      <c r="Q110" s="217">
        <f t="shared" si="42"/>
        <v>305</v>
      </c>
      <c r="R110" s="217">
        <f t="shared" si="42"/>
        <v>308.75</v>
      </c>
      <c r="S110" s="200">
        <f t="shared" si="42"/>
        <v>2.2467249999999996</v>
      </c>
    </row>
    <row r="111" spans="1:19" x14ac:dyDescent="0.3">
      <c r="A111" s="169">
        <v>45492</v>
      </c>
      <c r="B111" s="159">
        <f t="shared" si="34"/>
        <v>2024</v>
      </c>
      <c r="C111" s="159">
        <f t="shared" si="35"/>
        <v>7</v>
      </c>
      <c r="D111" s="190">
        <f>AVERAGEIFS(data!G:G,data!A:A,'monthly-forecast'!B111,data!B:B,'monthly-forecast'!C111)</f>
        <v>272</v>
      </c>
      <c r="E111" s="190">
        <f>AVERAGEIFS(data!F:F,data!A:A,'monthly-forecast'!B111,data!B:B,'monthly-forecast'!C111)</f>
        <v>258</v>
      </c>
      <c r="F111" s="190">
        <f t="shared" si="36"/>
        <v>272</v>
      </c>
      <c r="G111" s="190">
        <f t="shared" si="37"/>
        <v>258</v>
      </c>
      <c r="H111" s="190">
        <v>222.5</v>
      </c>
      <c r="I111" s="190">
        <v>305</v>
      </c>
      <c r="J111" s="190">
        <v>307.5</v>
      </c>
      <c r="K111" s="170">
        <v>2.1268000000000002</v>
      </c>
      <c r="L111" s="218"/>
      <c r="M111" s="218"/>
      <c r="N111" s="218"/>
      <c r="O111" s="218"/>
      <c r="P111" s="218"/>
      <c r="Q111" s="218"/>
      <c r="R111" s="218"/>
      <c r="S111" s="201"/>
    </row>
    <row r="112" spans="1:19" x14ac:dyDescent="0.3">
      <c r="A112" s="169">
        <v>45485</v>
      </c>
      <c r="B112" s="159">
        <f t="shared" si="34"/>
        <v>2024</v>
      </c>
      <c r="C112" s="159">
        <f t="shared" si="35"/>
        <v>7</v>
      </c>
      <c r="D112" s="190">
        <f>AVERAGEIFS(data!G:G,data!A:A,'monthly-forecast'!B112,data!B:B,'monthly-forecast'!C112)</f>
        <v>272</v>
      </c>
      <c r="E112" s="190">
        <f>AVERAGEIFS(data!F:F,data!A:A,'monthly-forecast'!B112,data!B:B,'monthly-forecast'!C112)</f>
        <v>258</v>
      </c>
      <c r="F112" s="190">
        <f t="shared" si="36"/>
        <v>272</v>
      </c>
      <c r="G112" s="190">
        <f t="shared" si="37"/>
        <v>258</v>
      </c>
      <c r="H112" s="190">
        <v>225</v>
      </c>
      <c r="I112" s="190">
        <v>305</v>
      </c>
      <c r="J112" s="190">
        <v>312.5</v>
      </c>
      <c r="K112" s="170">
        <v>2.3271999999999999</v>
      </c>
      <c r="L112" s="218"/>
      <c r="M112" s="218"/>
      <c r="N112" s="218"/>
      <c r="O112" s="218"/>
      <c r="P112" s="218"/>
      <c r="Q112" s="218"/>
      <c r="R112" s="218"/>
      <c r="S112" s="201"/>
    </row>
    <row r="113" spans="1:19" x14ac:dyDescent="0.3">
      <c r="A113" s="169">
        <v>45478</v>
      </c>
      <c r="B113" s="159">
        <f t="shared" si="34"/>
        <v>2024</v>
      </c>
      <c r="C113" s="159">
        <f t="shared" si="35"/>
        <v>7</v>
      </c>
      <c r="D113" s="190">
        <f>AVERAGEIFS(data!G:G,data!A:A,'monthly-forecast'!B113,data!B:B,'monthly-forecast'!C113)</f>
        <v>272</v>
      </c>
      <c r="E113" s="190">
        <f>AVERAGEIFS(data!F:F,data!A:A,'monthly-forecast'!B113,data!B:B,'monthly-forecast'!C113)</f>
        <v>258</v>
      </c>
      <c r="F113" s="190">
        <f t="shared" si="36"/>
        <v>272</v>
      </c>
      <c r="G113" s="190">
        <f t="shared" si="37"/>
        <v>258</v>
      </c>
      <c r="H113" s="190">
        <v>220</v>
      </c>
      <c r="I113" s="190">
        <v>305</v>
      </c>
      <c r="J113" s="190">
        <v>307.5</v>
      </c>
      <c r="K113" s="170">
        <v>2.4125000000000001</v>
      </c>
      <c r="L113" s="219"/>
      <c r="M113" s="219"/>
      <c r="N113" s="219"/>
      <c r="O113" s="219"/>
      <c r="P113" s="219"/>
      <c r="Q113" s="219"/>
      <c r="R113" s="219"/>
      <c r="S113" s="202"/>
    </row>
    <row r="114" spans="1:19" x14ac:dyDescent="0.3">
      <c r="A114" s="169">
        <v>45471</v>
      </c>
      <c r="B114" s="159">
        <f t="shared" si="34"/>
        <v>2024</v>
      </c>
      <c r="C114" s="159">
        <f t="shared" si="35"/>
        <v>6</v>
      </c>
      <c r="D114" s="190">
        <f>AVERAGEIFS(data!G:G,data!A:A,'monthly-forecast'!B114,data!B:B,'monthly-forecast'!C114)</f>
        <v>270</v>
      </c>
      <c r="E114" s="190">
        <f>AVERAGEIFS(data!F:F,data!A:A,'monthly-forecast'!B114,data!B:B,'monthly-forecast'!C114)</f>
        <v>230</v>
      </c>
      <c r="F114" s="190">
        <f t="shared" si="36"/>
        <v>270</v>
      </c>
      <c r="G114" s="190">
        <f t="shared" si="37"/>
        <v>230</v>
      </c>
      <c r="H114" s="190">
        <v>217.5</v>
      </c>
      <c r="I114" s="190">
        <v>305</v>
      </c>
      <c r="J114" s="190">
        <v>307.5</v>
      </c>
      <c r="K114" s="170">
        <v>2.6962000000000002</v>
      </c>
      <c r="L114" s="217">
        <f>AVERAGE(D114:D117)</f>
        <v>270</v>
      </c>
      <c r="M114" s="217">
        <f>AVERAGE(E114:E117)</f>
        <v>230</v>
      </c>
      <c r="N114" s="217">
        <f>AVERAGE(D114:D117)</f>
        <v>270</v>
      </c>
      <c r="O114" s="217">
        <f>AVERAGE(E114:E117)</f>
        <v>230</v>
      </c>
      <c r="P114" s="217">
        <f t="shared" ref="P114:S114" si="43">AVERAGE(H114:H117)</f>
        <v>203.125</v>
      </c>
      <c r="Q114" s="217">
        <f t="shared" si="43"/>
        <v>291.25</v>
      </c>
      <c r="R114" s="217">
        <f t="shared" si="43"/>
        <v>295</v>
      </c>
      <c r="S114" s="200">
        <f t="shared" si="43"/>
        <v>2.8083874999999998</v>
      </c>
    </row>
    <row r="115" spans="1:19" x14ac:dyDescent="0.3">
      <c r="A115" s="169">
        <v>45464</v>
      </c>
      <c r="B115" s="159">
        <f t="shared" si="34"/>
        <v>2024</v>
      </c>
      <c r="C115" s="159">
        <f t="shared" si="35"/>
        <v>6</v>
      </c>
      <c r="D115" s="190">
        <f>AVERAGEIFS(data!G:G,data!A:A,'monthly-forecast'!B115,data!B:B,'monthly-forecast'!C115)</f>
        <v>270</v>
      </c>
      <c r="E115" s="190">
        <f>AVERAGEIFS(data!F:F,data!A:A,'monthly-forecast'!B115,data!B:B,'monthly-forecast'!C115)</f>
        <v>230</v>
      </c>
      <c r="F115" s="190">
        <f t="shared" si="36"/>
        <v>270</v>
      </c>
      <c r="G115" s="190">
        <f t="shared" si="37"/>
        <v>230</v>
      </c>
      <c r="H115" s="190">
        <v>215</v>
      </c>
      <c r="I115" s="190">
        <v>305</v>
      </c>
      <c r="J115" s="190">
        <v>302.5</v>
      </c>
      <c r="K115" s="170">
        <v>2.7857500000000002</v>
      </c>
      <c r="L115" s="218"/>
      <c r="M115" s="218"/>
      <c r="N115" s="218"/>
      <c r="O115" s="218"/>
      <c r="P115" s="218"/>
      <c r="Q115" s="218"/>
      <c r="R115" s="218"/>
      <c r="S115" s="201"/>
    </row>
    <row r="116" spans="1:19" x14ac:dyDescent="0.3">
      <c r="A116" s="169">
        <v>45457</v>
      </c>
      <c r="B116" s="159">
        <f t="shared" si="34"/>
        <v>2024</v>
      </c>
      <c r="C116" s="159">
        <f t="shared" si="35"/>
        <v>6</v>
      </c>
      <c r="D116" s="190">
        <f>AVERAGEIFS(data!G:G,data!A:A,'monthly-forecast'!B116,data!B:B,'monthly-forecast'!C116)</f>
        <v>270</v>
      </c>
      <c r="E116" s="190">
        <f>AVERAGEIFS(data!F:F,data!A:A,'monthly-forecast'!B116,data!B:B,'monthly-forecast'!C116)</f>
        <v>230</v>
      </c>
      <c r="F116" s="190">
        <f t="shared" si="36"/>
        <v>270</v>
      </c>
      <c r="G116" s="190">
        <f t="shared" si="37"/>
        <v>230</v>
      </c>
      <c r="H116" s="190">
        <v>192.5</v>
      </c>
      <c r="I116" s="190">
        <v>277.5</v>
      </c>
      <c r="J116" s="190">
        <v>302.5</v>
      </c>
      <c r="K116" s="170">
        <v>2.984</v>
      </c>
      <c r="L116" s="218"/>
      <c r="M116" s="218"/>
      <c r="N116" s="218"/>
      <c r="O116" s="218"/>
      <c r="P116" s="218"/>
      <c r="Q116" s="218"/>
      <c r="R116" s="218"/>
      <c r="S116" s="201"/>
    </row>
    <row r="117" spans="1:19" x14ac:dyDescent="0.3">
      <c r="A117" s="169">
        <v>45450</v>
      </c>
      <c r="B117" s="159">
        <f t="shared" si="34"/>
        <v>2024</v>
      </c>
      <c r="C117" s="159">
        <f t="shared" si="35"/>
        <v>6</v>
      </c>
      <c r="D117" s="190">
        <f>AVERAGEIFS(data!G:G,data!A:A,'monthly-forecast'!B117,data!B:B,'monthly-forecast'!C117)</f>
        <v>270</v>
      </c>
      <c r="E117" s="190">
        <f>AVERAGEIFS(data!F:F,data!A:A,'monthly-forecast'!B117,data!B:B,'monthly-forecast'!C117)</f>
        <v>230</v>
      </c>
      <c r="F117" s="190">
        <f t="shared" si="36"/>
        <v>270</v>
      </c>
      <c r="G117" s="190">
        <f t="shared" si="37"/>
        <v>230</v>
      </c>
      <c r="H117" s="190">
        <v>187.5</v>
      </c>
      <c r="I117" s="190">
        <v>277.5</v>
      </c>
      <c r="J117" s="190">
        <v>267.5</v>
      </c>
      <c r="K117" s="170">
        <v>2.7676000000000003</v>
      </c>
      <c r="L117" s="219"/>
      <c r="M117" s="219"/>
      <c r="N117" s="219"/>
      <c r="O117" s="219"/>
      <c r="P117" s="219"/>
      <c r="Q117" s="219"/>
      <c r="R117" s="219"/>
      <c r="S117" s="202"/>
    </row>
    <row r="118" spans="1:19" x14ac:dyDescent="0.3">
      <c r="A118" s="169">
        <v>45443</v>
      </c>
      <c r="B118" s="159">
        <f t="shared" si="34"/>
        <v>2024</v>
      </c>
      <c r="C118" s="159">
        <f t="shared" si="35"/>
        <v>5</v>
      </c>
      <c r="D118" s="190">
        <f>AVERAGEIFS(data!G:G,data!A:A,'monthly-forecast'!B118,data!B:B,'monthly-forecast'!C118)</f>
        <v>300</v>
      </c>
      <c r="E118" s="190">
        <f>AVERAGEIFS(data!F:F,data!A:A,'monthly-forecast'!B118,data!B:B,'monthly-forecast'!C118)</f>
        <v>260</v>
      </c>
      <c r="F118" s="190">
        <f t="shared" si="36"/>
        <v>300</v>
      </c>
      <c r="G118" s="190">
        <f t="shared" si="37"/>
        <v>260</v>
      </c>
      <c r="H118" s="190">
        <v>180</v>
      </c>
      <c r="I118" s="190">
        <v>277.5</v>
      </c>
      <c r="J118" s="190">
        <v>260</v>
      </c>
      <c r="K118" s="170">
        <v>2.5605000000000002</v>
      </c>
      <c r="L118" s="217">
        <f>AVERAGE(D118:D122)</f>
        <v>300</v>
      </c>
      <c r="M118" s="217">
        <f>AVERAGE(E118:E122)</f>
        <v>260</v>
      </c>
      <c r="N118" s="217">
        <f>AVERAGE(D118:D122)</f>
        <v>300</v>
      </c>
      <c r="O118" s="217">
        <f>AVERAGE(E118:E122)</f>
        <v>260</v>
      </c>
      <c r="P118" s="217">
        <f t="shared" ref="P118:S118" si="44">AVERAGE(H118:H122)</f>
        <v>182.5</v>
      </c>
      <c r="Q118" s="217">
        <f t="shared" si="44"/>
        <v>277.5</v>
      </c>
      <c r="R118" s="217">
        <f t="shared" si="44"/>
        <v>251</v>
      </c>
      <c r="S118" s="200">
        <f t="shared" si="44"/>
        <v>2.3910999999999998</v>
      </c>
    </row>
    <row r="119" spans="1:19" x14ac:dyDescent="0.3">
      <c r="A119" s="169">
        <v>45436</v>
      </c>
      <c r="B119" s="159">
        <f t="shared" si="34"/>
        <v>2024</v>
      </c>
      <c r="C119" s="159">
        <f t="shared" si="35"/>
        <v>5</v>
      </c>
      <c r="D119" s="190">
        <f>AVERAGEIFS(data!G:G,data!A:A,'monthly-forecast'!B119,data!B:B,'monthly-forecast'!C119)</f>
        <v>300</v>
      </c>
      <c r="E119" s="190">
        <f>AVERAGEIFS(data!F:F,data!A:A,'monthly-forecast'!B119,data!B:B,'monthly-forecast'!C119)</f>
        <v>260</v>
      </c>
      <c r="F119" s="190">
        <f t="shared" si="36"/>
        <v>300</v>
      </c>
      <c r="G119" s="190">
        <f t="shared" si="37"/>
        <v>260</v>
      </c>
      <c r="H119" s="190">
        <v>180</v>
      </c>
      <c r="I119" s="190">
        <v>277.5</v>
      </c>
      <c r="J119" s="190">
        <v>242.5</v>
      </c>
      <c r="K119" s="170">
        <v>2.6881999999999997</v>
      </c>
      <c r="L119" s="218"/>
      <c r="M119" s="218"/>
      <c r="N119" s="218"/>
      <c r="O119" s="218"/>
      <c r="P119" s="218"/>
      <c r="Q119" s="218"/>
      <c r="R119" s="218"/>
      <c r="S119" s="201"/>
    </row>
    <row r="120" spans="1:19" x14ac:dyDescent="0.3">
      <c r="A120" s="169">
        <v>45429</v>
      </c>
      <c r="B120" s="159">
        <f t="shared" si="34"/>
        <v>2024</v>
      </c>
      <c r="C120" s="159">
        <f t="shared" si="35"/>
        <v>5</v>
      </c>
      <c r="D120" s="190">
        <f>AVERAGEIFS(data!G:G,data!A:A,'monthly-forecast'!B120,data!B:B,'monthly-forecast'!C120)</f>
        <v>300</v>
      </c>
      <c r="E120" s="190">
        <f>AVERAGEIFS(data!F:F,data!A:A,'monthly-forecast'!B120,data!B:B,'monthly-forecast'!C120)</f>
        <v>260</v>
      </c>
      <c r="F120" s="190">
        <f t="shared" si="36"/>
        <v>300</v>
      </c>
      <c r="G120" s="190">
        <f t="shared" si="37"/>
        <v>260</v>
      </c>
      <c r="H120" s="190">
        <v>187.5</v>
      </c>
      <c r="I120" s="190">
        <v>277.5</v>
      </c>
      <c r="J120" s="190">
        <v>242.5</v>
      </c>
      <c r="K120" s="170">
        <v>2.4523999999999999</v>
      </c>
      <c r="L120" s="218"/>
      <c r="M120" s="218"/>
      <c r="N120" s="218"/>
      <c r="O120" s="218"/>
      <c r="P120" s="218"/>
      <c r="Q120" s="218"/>
      <c r="R120" s="218"/>
      <c r="S120" s="201"/>
    </row>
    <row r="121" spans="1:19" x14ac:dyDescent="0.3">
      <c r="A121" s="169">
        <v>45422</v>
      </c>
      <c r="B121" s="159">
        <f t="shared" si="34"/>
        <v>2024</v>
      </c>
      <c r="C121" s="159">
        <f t="shared" si="35"/>
        <v>5</v>
      </c>
      <c r="D121" s="190">
        <f>AVERAGEIFS(data!G:G,data!A:A,'monthly-forecast'!B121,data!B:B,'monthly-forecast'!C121)</f>
        <v>300</v>
      </c>
      <c r="E121" s="190">
        <f>AVERAGEIFS(data!F:F,data!A:A,'monthly-forecast'!B121,data!B:B,'monthly-forecast'!C121)</f>
        <v>260</v>
      </c>
      <c r="F121" s="190">
        <f t="shared" si="36"/>
        <v>300</v>
      </c>
      <c r="G121" s="190">
        <f t="shared" si="37"/>
        <v>260</v>
      </c>
      <c r="H121" s="190">
        <v>182.5</v>
      </c>
      <c r="I121" s="190">
        <v>277.5</v>
      </c>
      <c r="J121" s="190">
        <v>255</v>
      </c>
      <c r="K121" s="170">
        <v>2.2283999999999997</v>
      </c>
      <c r="L121" s="218"/>
      <c r="M121" s="218"/>
      <c r="N121" s="218"/>
      <c r="O121" s="218"/>
      <c r="P121" s="218"/>
      <c r="Q121" s="218"/>
      <c r="R121" s="218"/>
      <c r="S121" s="201"/>
    </row>
    <row r="122" spans="1:19" x14ac:dyDescent="0.3">
      <c r="A122" s="169">
        <v>45415</v>
      </c>
      <c r="B122" s="159">
        <f t="shared" si="34"/>
        <v>2024</v>
      </c>
      <c r="C122" s="159">
        <f t="shared" si="35"/>
        <v>5</v>
      </c>
      <c r="D122" s="190">
        <f>AVERAGEIFS(data!G:G,data!A:A,'monthly-forecast'!B122,data!B:B,'monthly-forecast'!C122)</f>
        <v>300</v>
      </c>
      <c r="E122" s="190">
        <f>AVERAGEIFS(data!F:F,data!A:A,'monthly-forecast'!B122,data!B:B,'monthly-forecast'!C122)</f>
        <v>260</v>
      </c>
      <c r="F122" s="190">
        <f t="shared" si="36"/>
        <v>300</v>
      </c>
      <c r="G122" s="190">
        <f t="shared" si="37"/>
        <v>260</v>
      </c>
      <c r="H122" s="190">
        <v>182.5</v>
      </c>
      <c r="I122" s="190">
        <v>277.5</v>
      </c>
      <c r="J122" s="190">
        <v>255</v>
      </c>
      <c r="K122" s="170">
        <v>2.0259999999999998</v>
      </c>
      <c r="L122" s="219"/>
      <c r="M122" s="219"/>
      <c r="N122" s="219"/>
      <c r="O122" s="219"/>
      <c r="P122" s="219"/>
      <c r="Q122" s="219"/>
      <c r="R122" s="219"/>
      <c r="S122" s="202"/>
    </row>
    <row r="123" spans="1:19" x14ac:dyDescent="0.3">
      <c r="A123" s="169">
        <v>45408</v>
      </c>
      <c r="B123" s="159">
        <f t="shared" si="34"/>
        <v>2024</v>
      </c>
      <c r="C123" s="159">
        <f t="shared" si="35"/>
        <v>4</v>
      </c>
      <c r="D123" s="190">
        <f>AVERAGEIFS(data!G:G,data!A:A,'monthly-forecast'!B123,data!B:B,'monthly-forecast'!C123)</f>
        <v>330</v>
      </c>
      <c r="E123" s="190">
        <f>AVERAGEIFS(data!F:F,data!A:A,'monthly-forecast'!B123,data!B:B,'monthly-forecast'!C123)</f>
        <v>300</v>
      </c>
      <c r="F123" s="190">
        <f t="shared" si="36"/>
        <v>330</v>
      </c>
      <c r="G123" s="190">
        <f t="shared" si="37"/>
        <v>300</v>
      </c>
      <c r="H123" s="190">
        <v>182.5</v>
      </c>
      <c r="I123" s="190">
        <v>277.5</v>
      </c>
      <c r="J123" s="190">
        <v>252.5</v>
      </c>
      <c r="K123" s="170">
        <v>1.7015999999999998</v>
      </c>
      <c r="L123" s="217">
        <f>AVERAGE(D123:D126)</f>
        <v>330</v>
      </c>
      <c r="M123" s="217">
        <f>AVERAGE(E123:E126)</f>
        <v>300</v>
      </c>
      <c r="N123" s="217">
        <f>AVERAGE(D123:D126)</f>
        <v>330</v>
      </c>
      <c r="O123" s="217">
        <f>AVERAGE(E123:E126)</f>
        <v>300</v>
      </c>
      <c r="P123" s="217">
        <f t="shared" ref="P123:S123" si="45">AVERAGE(H123:H126)</f>
        <v>205.625</v>
      </c>
      <c r="Q123" s="217">
        <f t="shared" si="45"/>
        <v>266.125</v>
      </c>
      <c r="R123" s="217">
        <f t="shared" si="45"/>
        <v>267.5</v>
      </c>
      <c r="S123" s="200">
        <f t="shared" si="45"/>
        <v>1.7692999999999999</v>
      </c>
    </row>
    <row r="124" spans="1:19" x14ac:dyDescent="0.3">
      <c r="A124" s="169">
        <v>45401</v>
      </c>
      <c r="B124" s="159">
        <f t="shared" si="34"/>
        <v>2024</v>
      </c>
      <c r="C124" s="159">
        <f t="shared" si="35"/>
        <v>4</v>
      </c>
      <c r="D124" s="190">
        <f>AVERAGEIFS(data!G:G,data!A:A,'monthly-forecast'!B124,data!B:B,'monthly-forecast'!C124)</f>
        <v>330</v>
      </c>
      <c r="E124" s="190">
        <f>AVERAGEIFS(data!F:F,data!A:A,'monthly-forecast'!B124,data!B:B,'monthly-forecast'!C124)</f>
        <v>300</v>
      </c>
      <c r="F124" s="190">
        <f t="shared" si="36"/>
        <v>330</v>
      </c>
      <c r="G124" s="190">
        <f t="shared" si="37"/>
        <v>300</v>
      </c>
      <c r="H124" s="190">
        <v>182.5</v>
      </c>
      <c r="I124" s="190">
        <v>280</v>
      </c>
      <c r="J124" s="190">
        <v>252.5</v>
      </c>
      <c r="K124" s="170">
        <v>1.7288000000000001</v>
      </c>
      <c r="L124" s="218"/>
      <c r="M124" s="218"/>
      <c r="N124" s="218"/>
      <c r="O124" s="218"/>
      <c r="P124" s="218"/>
      <c r="Q124" s="218"/>
      <c r="R124" s="218"/>
      <c r="S124" s="201"/>
    </row>
    <row r="125" spans="1:19" x14ac:dyDescent="0.3">
      <c r="A125" s="169">
        <v>45394</v>
      </c>
      <c r="B125" s="159">
        <f t="shared" si="34"/>
        <v>2024</v>
      </c>
      <c r="C125" s="159">
        <f t="shared" si="35"/>
        <v>4</v>
      </c>
      <c r="D125" s="190">
        <f>AVERAGEIFS(data!G:G,data!A:A,'monthly-forecast'!B125,data!B:B,'monthly-forecast'!C125)</f>
        <v>330</v>
      </c>
      <c r="E125" s="190">
        <f>AVERAGEIFS(data!F:F,data!A:A,'monthly-forecast'!B125,data!B:B,'monthly-forecast'!C125)</f>
        <v>300</v>
      </c>
      <c r="F125" s="190">
        <f t="shared" si="36"/>
        <v>330</v>
      </c>
      <c r="G125" s="190">
        <f t="shared" si="37"/>
        <v>300</v>
      </c>
      <c r="H125" s="190">
        <v>217.5</v>
      </c>
      <c r="I125" s="190">
        <v>280</v>
      </c>
      <c r="J125" s="190">
        <v>282.5</v>
      </c>
      <c r="K125" s="170">
        <v>1.827</v>
      </c>
      <c r="L125" s="218"/>
      <c r="M125" s="218"/>
      <c r="N125" s="218"/>
      <c r="O125" s="218"/>
      <c r="P125" s="218"/>
      <c r="Q125" s="218"/>
      <c r="R125" s="218"/>
      <c r="S125" s="201"/>
    </row>
    <row r="126" spans="1:19" x14ac:dyDescent="0.3">
      <c r="A126" s="169">
        <v>45387</v>
      </c>
      <c r="B126" s="159">
        <f t="shared" si="34"/>
        <v>2024</v>
      </c>
      <c r="C126" s="159">
        <f t="shared" si="35"/>
        <v>4</v>
      </c>
      <c r="D126" s="190">
        <f>AVERAGEIFS(data!G:G,data!A:A,'monthly-forecast'!B126,data!B:B,'monthly-forecast'!C126)</f>
        <v>330</v>
      </c>
      <c r="E126" s="190">
        <f>AVERAGEIFS(data!F:F,data!A:A,'monthly-forecast'!B126,data!B:B,'monthly-forecast'!C126)</f>
        <v>300</v>
      </c>
      <c r="F126" s="190">
        <f t="shared" si="36"/>
        <v>330</v>
      </c>
      <c r="G126" s="190">
        <f t="shared" si="37"/>
        <v>300</v>
      </c>
      <c r="H126" s="190">
        <v>240</v>
      </c>
      <c r="I126" s="190">
        <v>227</v>
      </c>
      <c r="J126" s="190">
        <v>282.5</v>
      </c>
      <c r="K126" s="170">
        <v>1.8198000000000001</v>
      </c>
      <c r="L126" s="219"/>
      <c r="M126" s="219"/>
      <c r="N126" s="219"/>
      <c r="O126" s="219"/>
      <c r="P126" s="219"/>
      <c r="Q126" s="219"/>
      <c r="R126" s="219"/>
      <c r="S126" s="202"/>
    </row>
    <row r="127" spans="1:19" x14ac:dyDescent="0.3">
      <c r="A127" s="169">
        <v>45380</v>
      </c>
      <c r="B127" s="159">
        <f t="shared" si="34"/>
        <v>2024</v>
      </c>
      <c r="C127" s="159">
        <f t="shared" si="35"/>
        <v>3</v>
      </c>
      <c r="D127" s="190">
        <f>AVERAGEIFS(data!G:G,data!A:A,'monthly-forecast'!B127,data!B:B,'monthly-forecast'!C127)</f>
        <v>330</v>
      </c>
      <c r="E127" s="190">
        <f>AVERAGEIFS(data!F:F,data!A:A,'monthly-forecast'!B127,data!B:B,'monthly-forecast'!C127)</f>
        <v>300</v>
      </c>
      <c r="F127" s="190">
        <f t="shared" si="36"/>
        <v>330</v>
      </c>
      <c r="G127" s="190">
        <f t="shared" si="37"/>
        <v>300</v>
      </c>
      <c r="H127" s="190">
        <v>240</v>
      </c>
      <c r="I127" s="190">
        <v>305</v>
      </c>
      <c r="J127" s="190">
        <v>300</v>
      </c>
      <c r="K127" s="170">
        <v>1.6677500000000001</v>
      </c>
      <c r="L127" s="217">
        <f>AVERAGE(D127:D131)</f>
        <v>330</v>
      </c>
      <c r="M127" s="217">
        <f>AVERAGE(E127:E131)</f>
        <v>300</v>
      </c>
      <c r="N127" s="217">
        <f>AVERAGE(D127:D131)</f>
        <v>330</v>
      </c>
      <c r="O127" s="217">
        <f>AVERAGE(E127:E131)</f>
        <v>300</v>
      </c>
      <c r="P127" s="217">
        <f t="shared" ref="P127:S127" si="46">AVERAGE(H127:H131)</f>
        <v>230</v>
      </c>
      <c r="Q127" s="217">
        <f t="shared" si="46"/>
        <v>305</v>
      </c>
      <c r="R127" s="217">
        <f t="shared" si="46"/>
        <v>303</v>
      </c>
      <c r="S127" s="200">
        <f t="shared" si="46"/>
        <v>1.7453099999999999</v>
      </c>
    </row>
    <row r="128" spans="1:19" x14ac:dyDescent="0.3">
      <c r="A128" s="169">
        <v>45373</v>
      </c>
      <c r="B128" s="159">
        <f t="shared" si="34"/>
        <v>2024</v>
      </c>
      <c r="C128" s="159">
        <f t="shared" si="35"/>
        <v>3</v>
      </c>
      <c r="D128" s="190">
        <f>AVERAGEIFS(data!G:G,data!A:A,'monthly-forecast'!B128,data!B:B,'monthly-forecast'!C128)</f>
        <v>330</v>
      </c>
      <c r="E128" s="190">
        <f>AVERAGEIFS(data!F:F,data!A:A,'monthly-forecast'!B128,data!B:B,'monthly-forecast'!C128)</f>
        <v>300</v>
      </c>
      <c r="F128" s="190">
        <f t="shared" si="36"/>
        <v>330</v>
      </c>
      <c r="G128" s="190">
        <f t="shared" si="37"/>
        <v>300</v>
      </c>
      <c r="H128" s="190">
        <v>240</v>
      </c>
      <c r="I128" s="190">
        <v>305</v>
      </c>
      <c r="J128" s="190">
        <v>300</v>
      </c>
      <c r="K128" s="170">
        <v>1.6976</v>
      </c>
      <c r="L128" s="218"/>
      <c r="M128" s="218"/>
      <c r="N128" s="218"/>
      <c r="O128" s="218"/>
      <c r="P128" s="218"/>
      <c r="Q128" s="218"/>
      <c r="R128" s="218"/>
      <c r="S128" s="201"/>
    </row>
    <row r="129" spans="1:19" x14ac:dyDescent="0.3">
      <c r="A129" s="169">
        <v>45366</v>
      </c>
      <c r="B129" s="159">
        <f t="shared" si="34"/>
        <v>2024</v>
      </c>
      <c r="C129" s="159">
        <f t="shared" si="35"/>
        <v>3</v>
      </c>
      <c r="D129" s="190">
        <f>AVERAGEIFS(data!G:G,data!A:A,'monthly-forecast'!B129,data!B:B,'monthly-forecast'!C129)</f>
        <v>330</v>
      </c>
      <c r="E129" s="190">
        <f>AVERAGEIFS(data!F:F,data!A:A,'monthly-forecast'!B129,data!B:B,'monthly-forecast'!C129)</f>
        <v>300</v>
      </c>
      <c r="F129" s="190">
        <f t="shared" si="36"/>
        <v>330</v>
      </c>
      <c r="G129" s="190">
        <f t="shared" si="37"/>
        <v>300</v>
      </c>
      <c r="H129" s="190">
        <v>240</v>
      </c>
      <c r="I129" s="190">
        <v>305</v>
      </c>
      <c r="J129" s="190">
        <v>295</v>
      </c>
      <c r="K129" s="170">
        <v>1.7054000000000002</v>
      </c>
      <c r="L129" s="218"/>
      <c r="M129" s="218"/>
      <c r="N129" s="218"/>
      <c r="O129" s="218"/>
      <c r="P129" s="218"/>
      <c r="Q129" s="218"/>
      <c r="R129" s="218"/>
      <c r="S129" s="201"/>
    </row>
    <row r="130" spans="1:19" x14ac:dyDescent="0.3">
      <c r="A130" s="169">
        <v>45359</v>
      </c>
      <c r="B130" s="159">
        <f t="shared" si="34"/>
        <v>2024</v>
      </c>
      <c r="C130" s="159">
        <f t="shared" si="35"/>
        <v>3</v>
      </c>
      <c r="D130" s="190">
        <f>AVERAGEIFS(data!G:G,data!A:A,'monthly-forecast'!B130,data!B:B,'monthly-forecast'!C130)</f>
        <v>330</v>
      </c>
      <c r="E130" s="190">
        <f>AVERAGEIFS(data!F:F,data!A:A,'monthly-forecast'!B130,data!B:B,'monthly-forecast'!C130)</f>
        <v>300</v>
      </c>
      <c r="F130" s="190">
        <f t="shared" si="36"/>
        <v>330</v>
      </c>
      <c r="G130" s="190">
        <f t="shared" si="37"/>
        <v>300</v>
      </c>
      <c r="H130" s="190">
        <v>215</v>
      </c>
      <c r="I130" s="190">
        <v>305</v>
      </c>
      <c r="J130" s="190">
        <v>310</v>
      </c>
      <c r="K130" s="170">
        <v>1.8850000000000002</v>
      </c>
      <c r="L130" s="218"/>
      <c r="M130" s="218"/>
      <c r="N130" s="218"/>
      <c r="O130" s="218"/>
      <c r="P130" s="218"/>
      <c r="Q130" s="218"/>
      <c r="R130" s="218"/>
      <c r="S130" s="201"/>
    </row>
    <row r="131" spans="1:19" x14ac:dyDescent="0.3">
      <c r="A131" s="169">
        <v>45352</v>
      </c>
      <c r="B131" s="159">
        <f t="shared" si="34"/>
        <v>2024</v>
      </c>
      <c r="C131" s="159">
        <f t="shared" si="35"/>
        <v>3</v>
      </c>
      <c r="D131" s="190">
        <f>AVERAGEIFS(data!G:G,data!A:A,'monthly-forecast'!B131,data!B:B,'monthly-forecast'!C131)</f>
        <v>330</v>
      </c>
      <c r="E131" s="190">
        <f>AVERAGEIFS(data!F:F,data!A:A,'monthly-forecast'!B131,data!B:B,'monthly-forecast'!C131)</f>
        <v>300</v>
      </c>
      <c r="F131" s="190">
        <f t="shared" si="36"/>
        <v>330</v>
      </c>
      <c r="G131" s="190">
        <f t="shared" si="37"/>
        <v>300</v>
      </c>
      <c r="H131" s="190">
        <v>215</v>
      </c>
      <c r="I131" s="190">
        <v>305</v>
      </c>
      <c r="J131" s="190">
        <v>310</v>
      </c>
      <c r="K131" s="170">
        <v>1.7708000000000002</v>
      </c>
      <c r="L131" s="219"/>
      <c r="M131" s="219"/>
      <c r="N131" s="219"/>
      <c r="O131" s="219"/>
      <c r="P131" s="219"/>
      <c r="Q131" s="219"/>
      <c r="R131" s="219"/>
      <c r="S131" s="202"/>
    </row>
    <row r="132" spans="1:19" x14ac:dyDescent="0.3">
      <c r="A132" s="169">
        <v>45345</v>
      </c>
      <c r="B132" s="159">
        <f t="shared" si="34"/>
        <v>2024</v>
      </c>
      <c r="C132" s="159">
        <f t="shared" si="35"/>
        <v>2</v>
      </c>
      <c r="D132" s="190">
        <f>AVERAGEIFS(data!G:G,data!A:A,'monthly-forecast'!B132,data!B:B,'monthly-forecast'!C132)</f>
        <v>330</v>
      </c>
      <c r="E132" s="190">
        <f>AVERAGEIFS(data!F:F,data!A:A,'monthly-forecast'!B132,data!B:B,'monthly-forecast'!C132)</f>
        <v>310</v>
      </c>
      <c r="F132" s="190">
        <f t="shared" si="36"/>
        <v>330</v>
      </c>
      <c r="G132" s="190">
        <f t="shared" si="37"/>
        <v>310</v>
      </c>
      <c r="H132" s="190">
        <v>215</v>
      </c>
      <c r="I132" s="190">
        <v>325</v>
      </c>
      <c r="J132" s="190">
        <v>315</v>
      </c>
      <c r="K132" s="170">
        <v>1.6709999999999998</v>
      </c>
      <c r="L132" s="217">
        <f>AVERAGE(D132:D135)</f>
        <v>330</v>
      </c>
      <c r="M132" s="217">
        <f>AVERAGE(E132:E135)</f>
        <v>310</v>
      </c>
      <c r="N132" s="217">
        <f>AVERAGE(D132:D135)</f>
        <v>330</v>
      </c>
      <c r="O132" s="217">
        <f>AVERAGE(E132:E135)</f>
        <v>310</v>
      </c>
      <c r="P132" s="217">
        <f t="shared" ref="P132:S132" si="47">AVERAGE(H132:H135)</f>
        <v>209.375</v>
      </c>
      <c r="Q132" s="217">
        <f t="shared" si="47"/>
        <v>325</v>
      </c>
      <c r="R132" s="217">
        <f t="shared" si="47"/>
        <v>307.25</v>
      </c>
      <c r="S132" s="200">
        <f t="shared" si="47"/>
        <v>1.86145</v>
      </c>
    </row>
    <row r="133" spans="1:19" x14ac:dyDescent="0.3">
      <c r="A133" s="169">
        <v>45338</v>
      </c>
      <c r="B133" s="159">
        <f t="shared" si="34"/>
        <v>2024</v>
      </c>
      <c r="C133" s="159">
        <f t="shared" si="35"/>
        <v>2</v>
      </c>
      <c r="D133" s="190">
        <f>AVERAGEIFS(data!G:G,data!A:A,'monthly-forecast'!B133,data!B:B,'monthly-forecast'!C133)</f>
        <v>330</v>
      </c>
      <c r="E133" s="190">
        <f>AVERAGEIFS(data!F:F,data!A:A,'monthly-forecast'!B133,data!B:B,'monthly-forecast'!C133)</f>
        <v>310</v>
      </c>
      <c r="F133" s="190">
        <f t="shared" si="36"/>
        <v>330</v>
      </c>
      <c r="G133" s="190">
        <f t="shared" si="37"/>
        <v>310</v>
      </c>
      <c r="H133" s="190">
        <v>217.5</v>
      </c>
      <c r="I133" s="190">
        <v>325</v>
      </c>
      <c r="J133" s="190">
        <v>305</v>
      </c>
      <c r="K133" s="170">
        <v>1.6512</v>
      </c>
      <c r="L133" s="218"/>
      <c r="M133" s="218"/>
      <c r="N133" s="218"/>
      <c r="O133" s="218"/>
      <c r="P133" s="218"/>
      <c r="Q133" s="218"/>
      <c r="R133" s="218"/>
      <c r="S133" s="201"/>
    </row>
    <row r="134" spans="1:19" x14ac:dyDescent="0.3">
      <c r="A134" s="169">
        <v>45331</v>
      </c>
      <c r="B134" s="159">
        <f t="shared" si="34"/>
        <v>2024</v>
      </c>
      <c r="C134" s="159">
        <f t="shared" si="35"/>
        <v>2</v>
      </c>
      <c r="D134" s="190">
        <f>AVERAGEIFS(data!G:G,data!A:A,'monthly-forecast'!B134,data!B:B,'monthly-forecast'!C134)</f>
        <v>330</v>
      </c>
      <c r="E134" s="190">
        <f>AVERAGEIFS(data!F:F,data!A:A,'monthly-forecast'!B134,data!B:B,'monthly-forecast'!C134)</f>
        <v>310</v>
      </c>
      <c r="F134" s="190">
        <f t="shared" si="36"/>
        <v>330</v>
      </c>
      <c r="G134" s="190">
        <f t="shared" si="37"/>
        <v>310</v>
      </c>
      <c r="H134" s="190">
        <v>217.5</v>
      </c>
      <c r="I134" s="190">
        <v>325</v>
      </c>
      <c r="J134" s="190">
        <v>314</v>
      </c>
      <c r="K134" s="170">
        <v>1.9643999999999999</v>
      </c>
      <c r="L134" s="218"/>
      <c r="M134" s="218"/>
      <c r="N134" s="218"/>
      <c r="O134" s="218"/>
      <c r="P134" s="218"/>
      <c r="Q134" s="218"/>
      <c r="R134" s="218"/>
      <c r="S134" s="201"/>
    </row>
    <row r="135" spans="1:19" x14ac:dyDescent="0.3">
      <c r="A135" s="169">
        <v>45324</v>
      </c>
      <c r="B135" s="159">
        <f t="shared" si="34"/>
        <v>2024</v>
      </c>
      <c r="C135" s="159">
        <f t="shared" si="35"/>
        <v>2</v>
      </c>
      <c r="D135" s="190">
        <f>AVERAGEIFS(data!G:G,data!A:A,'monthly-forecast'!B135,data!B:B,'monthly-forecast'!C135)</f>
        <v>330</v>
      </c>
      <c r="E135" s="190">
        <f>AVERAGEIFS(data!F:F,data!A:A,'monthly-forecast'!B135,data!B:B,'monthly-forecast'!C135)</f>
        <v>310</v>
      </c>
      <c r="F135" s="190">
        <f t="shared" si="36"/>
        <v>330</v>
      </c>
      <c r="G135" s="190">
        <f t="shared" si="37"/>
        <v>310</v>
      </c>
      <c r="H135" s="190">
        <v>187.5</v>
      </c>
      <c r="I135" s="190">
        <v>325</v>
      </c>
      <c r="J135" s="190">
        <v>295</v>
      </c>
      <c r="K135" s="170">
        <v>2.1591999999999998</v>
      </c>
      <c r="L135" s="219"/>
      <c r="M135" s="219"/>
      <c r="N135" s="219"/>
      <c r="O135" s="219"/>
      <c r="P135" s="219"/>
      <c r="Q135" s="219"/>
      <c r="R135" s="219"/>
      <c r="S135" s="202"/>
    </row>
    <row r="136" spans="1:19" x14ac:dyDescent="0.3">
      <c r="A136" s="169">
        <v>45317</v>
      </c>
      <c r="B136" s="159">
        <f t="shared" si="34"/>
        <v>2024</v>
      </c>
      <c r="C136" s="159">
        <f t="shared" si="35"/>
        <v>1</v>
      </c>
      <c r="D136" s="190">
        <f>AVERAGEIFS(data!G:G,data!A:A,'monthly-forecast'!B136,data!B:B,'monthly-forecast'!C136)</f>
        <v>330</v>
      </c>
      <c r="E136" s="190">
        <f>AVERAGEIFS(data!F:F,data!A:A,'monthly-forecast'!B136,data!B:B,'monthly-forecast'!C136)</f>
        <v>310</v>
      </c>
      <c r="F136" s="190">
        <f t="shared" si="36"/>
        <v>330</v>
      </c>
      <c r="G136" s="190">
        <f t="shared" si="37"/>
        <v>310</v>
      </c>
      <c r="H136" s="190">
        <v>187.5</v>
      </c>
      <c r="I136" s="190">
        <v>425</v>
      </c>
      <c r="J136" s="190">
        <v>295</v>
      </c>
      <c r="K136" s="170">
        <v>2.5586000000000002</v>
      </c>
      <c r="L136" s="217">
        <f>AVERAGE(D136:D139)</f>
        <v>330</v>
      </c>
      <c r="M136" s="217">
        <f>AVERAGE(E136:E139)</f>
        <v>310</v>
      </c>
      <c r="N136" s="217">
        <f>AVERAGE(D136:D139)</f>
        <v>330</v>
      </c>
      <c r="O136" s="217">
        <f>AVERAGE(E136:E139)</f>
        <v>310</v>
      </c>
      <c r="P136" s="217">
        <f t="shared" ref="P136:S136" si="48">AVERAGE(H136:H139)</f>
        <v>181.875</v>
      </c>
      <c r="Q136" s="217">
        <f t="shared" si="48"/>
        <v>425</v>
      </c>
      <c r="R136" s="217">
        <f t="shared" si="48"/>
        <v>270</v>
      </c>
      <c r="S136" s="200">
        <f t="shared" si="48"/>
        <v>2.7916000000000003</v>
      </c>
    </row>
    <row r="137" spans="1:19" x14ac:dyDescent="0.3">
      <c r="A137" s="169">
        <v>45310</v>
      </c>
      <c r="B137" s="159">
        <f t="shared" si="34"/>
        <v>2024</v>
      </c>
      <c r="C137" s="159">
        <f t="shared" si="35"/>
        <v>1</v>
      </c>
      <c r="D137" s="190">
        <f>AVERAGEIFS(data!G:G,data!A:A,'monthly-forecast'!B137,data!B:B,'monthly-forecast'!C137)</f>
        <v>330</v>
      </c>
      <c r="E137" s="190">
        <f>AVERAGEIFS(data!F:F,data!A:A,'monthly-forecast'!B137,data!B:B,'monthly-forecast'!C137)</f>
        <v>310</v>
      </c>
      <c r="F137" s="190">
        <f t="shared" si="36"/>
        <v>330</v>
      </c>
      <c r="G137" s="190">
        <f t="shared" si="37"/>
        <v>310</v>
      </c>
      <c r="H137" s="190">
        <v>180</v>
      </c>
      <c r="I137" s="190">
        <v>425</v>
      </c>
      <c r="J137" s="190">
        <v>265</v>
      </c>
      <c r="K137" s="170">
        <v>2.7465000000000002</v>
      </c>
      <c r="L137" s="218"/>
      <c r="M137" s="218"/>
      <c r="N137" s="218"/>
      <c r="O137" s="218"/>
      <c r="P137" s="218"/>
      <c r="Q137" s="218"/>
      <c r="R137" s="218"/>
      <c r="S137" s="201"/>
    </row>
    <row r="138" spans="1:19" x14ac:dyDescent="0.3">
      <c r="A138" s="169">
        <v>45303</v>
      </c>
      <c r="B138" s="159">
        <f t="shared" si="34"/>
        <v>2024</v>
      </c>
      <c r="C138" s="159">
        <f t="shared" si="35"/>
        <v>1</v>
      </c>
      <c r="D138" s="190">
        <f>AVERAGEIFS(data!G:G,data!A:A,'monthly-forecast'!B138,data!B:B,'monthly-forecast'!C138)</f>
        <v>330</v>
      </c>
      <c r="E138" s="190">
        <f>AVERAGEIFS(data!F:F,data!A:A,'monthly-forecast'!B138,data!B:B,'monthly-forecast'!C138)</f>
        <v>310</v>
      </c>
      <c r="F138" s="190">
        <f t="shared" si="36"/>
        <v>330</v>
      </c>
      <c r="G138" s="190">
        <f t="shared" si="37"/>
        <v>310</v>
      </c>
      <c r="H138" s="190">
        <v>180</v>
      </c>
      <c r="I138" s="190">
        <v>425</v>
      </c>
      <c r="J138" s="190">
        <v>245</v>
      </c>
      <c r="K138" s="170">
        <v>3.1238000000000001</v>
      </c>
      <c r="L138" s="218"/>
      <c r="M138" s="218"/>
      <c r="N138" s="218"/>
      <c r="O138" s="218"/>
      <c r="P138" s="218"/>
      <c r="Q138" s="218"/>
      <c r="R138" s="218"/>
      <c r="S138" s="201"/>
    </row>
    <row r="139" spans="1:19" x14ac:dyDescent="0.3">
      <c r="A139" s="169">
        <v>45296</v>
      </c>
      <c r="B139" s="159">
        <f t="shared" si="34"/>
        <v>2024</v>
      </c>
      <c r="C139" s="159">
        <f t="shared" si="35"/>
        <v>1</v>
      </c>
      <c r="D139" s="190">
        <f>AVERAGEIFS(data!G:G,data!A:A,'monthly-forecast'!B139,data!B:B,'monthly-forecast'!C139)</f>
        <v>330</v>
      </c>
      <c r="E139" s="190">
        <f>AVERAGEIFS(data!F:F,data!A:A,'monthly-forecast'!B139,data!B:B,'monthly-forecast'!C139)</f>
        <v>310</v>
      </c>
      <c r="F139" s="190">
        <f t="shared" si="36"/>
        <v>330</v>
      </c>
      <c r="G139" s="190">
        <f t="shared" si="37"/>
        <v>310</v>
      </c>
      <c r="H139" s="190">
        <v>180</v>
      </c>
      <c r="I139" s="190">
        <v>425</v>
      </c>
      <c r="J139" s="190">
        <v>275</v>
      </c>
      <c r="K139" s="170">
        <v>2.7375000000000003</v>
      </c>
      <c r="L139" s="219"/>
      <c r="M139" s="219"/>
      <c r="N139" s="219"/>
      <c r="O139" s="219"/>
      <c r="P139" s="219"/>
      <c r="Q139" s="219"/>
      <c r="R139" s="219"/>
      <c r="S139" s="202"/>
    </row>
    <row r="140" spans="1:19" x14ac:dyDescent="0.3">
      <c r="A140" s="169">
        <v>45289</v>
      </c>
      <c r="B140" s="159">
        <f t="shared" si="34"/>
        <v>2023</v>
      </c>
      <c r="C140" s="159">
        <f t="shared" si="35"/>
        <v>12</v>
      </c>
      <c r="D140" s="190">
        <f>AVERAGEIFS(data!G:G,data!A:A,'monthly-forecast'!B140,data!B:B,'monthly-forecast'!C140)</f>
        <v>330</v>
      </c>
      <c r="E140" s="190">
        <f>AVERAGEIFS(data!F:F,data!A:A,'monthly-forecast'!B140,data!B:B,'monthly-forecast'!C140)</f>
        <v>300</v>
      </c>
      <c r="F140" s="190">
        <f t="shared" si="36"/>
        <v>330</v>
      </c>
      <c r="G140" s="190">
        <f t="shared" si="37"/>
        <v>300</v>
      </c>
      <c r="H140" s="190">
        <v>180</v>
      </c>
      <c r="I140" s="190">
        <v>425</v>
      </c>
      <c r="J140" s="190">
        <v>275</v>
      </c>
      <c r="K140" s="170">
        <v>2.5599999999999996</v>
      </c>
      <c r="L140" s="217">
        <f>AVERAGE(D140:D144)</f>
        <v>330</v>
      </c>
      <c r="M140" s="217">
        <f>AVERAGE(E140:E144)</f>
        <v>300</v>
      </c>
      <c r="N140" s="217">
        <f>AVERAGE(D140:D144)</f>
        <v>330</v>
      </c>
      <c r="O140" s="217">
        <f>AVERAGE(E140:E144)</f>
        <v>300</v>
      </c>
      <c r="P140" s="217">
        <f t="shared" ref="P140:S140" si="49">AVERAGE(H140:H144)</f>
        <v>176.5</v>
      </c>
      <c r="Q140" s="217">
        <f t="shared" si="49"/>
        <v>463</v>
      </c>
      <c r="R140" s="217">
        <f t="shared" si="49"/>
        <v>282.5</v>
      </c>
      <c r="S140" s="200">
        <f t="shared" si="49"/>
        <v>2.5777200000000002</v>
      </c>
    </row>
    <row r="141" spans="1:19" x14ac:dyDescent="0.3">
      <c r="A141" s="169">
        <v>45282</v>
      </c>
      <c r="B141" s="159">
        <f t="shared" si="34"/>
        <v>2023</v>
      </c>
      <c r="C141" s="159">
        <f t="shared" si="35"/>
        <v>12</v>
      </c>
      <c r="D141" s="190">
        <f>AVERAGEIFS(data!G:G,data!A:A,'monthly-forecast'!B141,data!B:B,'monthly-forecast'!C141)</f>
        <v>330</v>
      </c>
      <c r="E141" s="190">
        <f>AVERAGEIFS(data!F:F,data!A:A,'monthly-forecast'!B141,data!B:B,'monthly-forecast'!C141)</f>
        <v>300</v>
      </c>
      <c r="F141" s="190">
        <f t="shared" si="36"/>
        <v>330</v>
      </c>
      <c r="G141" s="190">
        <f t="shared" si="37"/>
        <v>300</v>
      </c>
      <c r="H141" s="190">
        <v>180</v>
      </c>
      <c r="I141" s="190">
        <v>425</v>
      </c>
      <c r="J141" s="190">
        <v>275</v>
      </c>
      <c r="K141" s="170">
        <v>2.5247999999999999</v>
      </c>
      <c r="L141" s="218"/>
      <c r="M141" s="218"/>
      <c r="N141" s="218"/>
      <c r="O141" s="218"/>
      <c r="P141" s="218"/>
      <c r="Q141" s="218"/>
      <c r="R141" s="218"/>
      <c r="S141" s="201"/>
    </row>
    <row r="142" spans="1:19" x14ac:dyDescent="0.3">
      <c r="A142" s="169">
        <v>45275</v>
      </c>
      <c r="B142" s="159">
        <f t="shared" si="34"/>
        <v>2023</v>
      </c>
      <c r="C142" s="159">
        <f t="shared" si="35"/>
        <v>12</v>
      </c>
      <c r="D142" s="190">
        <f>AVERAGEIFS(data!G:G,data!A:A,'monthly-forecast'!B142,data!B:B,'monthly-forecast'!C142)</f>
        <v>330</v>
      </c>
      <c r="E142" s="190">
        <f>AVERAGEIFS(data!F:F,data!A:A,'monthly-forecast'!B142,data!B:B,'monthly-forecast'!C142)</f>
        <v>300</v>
      </c>
      <c r="F142" s="190">
        <f t="shared" si="36"/>
        <v>330</v>
      </c>
      <c r="G142" s="190">
        <f t="shared" si="37"/>
        <v>300</v>
      </c>
      <c r="H142" s="190">
        <v>172.5</v>
      </c>
      <c r="I142" s="190">
        <v>425</v>
      </c>
      <c r="J142" s="190">
        <v>292.5</v>
      </c>
      <c r="K142" s="170">
        <v>2.3920000000000003</v>
      </c>
      <c r="L142" s="218"/>
      <c r="M142" s="218"/>
      <c r="N142" s="218"/>
      <c r="O142" s="218"/>
      <c r="P142" s="218"/>
      <c r="Q142" s="218"/>
      <c r="R142" s="218"/>
      <c r="S142" s="201"/>
    </row>
    <row r="143" spans="1:19" x14ac:dyDescent="0.3">
      <c r="A143" s="169">
        <v>45268</v>
      </c>
      <c r="B143" s="159">
        <f t="shared" si="34"/>
        <v>2023</v>
      </c>
      <c r="C143" s="159">
        <f t="shared" si="35"/>
        <v>12</v>
      </c>
      <c r="D143" s="190">
        <f>AVERAGEIFS(data!G:G,data!A:A,'monthly-forecast'!B143,data!B:B,'monthly-forecast'!C143)</f>
        <v>330</v>
      </c>
      <c r="E143" s="190">
        <f>AVERAGEIFS(data!F:F,data!A:A,'monthly-forecast'!B143,data!B:B,'monthly-forecast'!C143)</f>
        <v>300</v>
      </c>
      <c r="F143" s="190">
        <f t="shared" si="36"/>
        <v>330</v>
      </c>
      <c r="G143" s="190">
        <f t="shared" si="37"/>
        <v>300</v>
      </c>
      <c r="H143" s="190">
        <v>172.5</v>
      </c>
      <c r="I143" s="190">
        <v>490</v>
      </c>
      <c r="J143" s="190">
        <v>285</v>
      </c>
      <c r="K143" s="170">
        <v>2.6277999999999997</v>
      </c>
      <c r="L143" s="218"/>
      <c r="M143" s="218"/>
      <c r="N143" s="218"/>
      <c r="O143" s="218"/>
      <c r="P143" s="218"/>
      <c r="Q143" s="218"/>
      <c r="R143" s="218"/>
      <c r="S143" s="201"/>
    </row>
    <row r="144" spans="1:19" x14ac:dyDescent="0.3">
      <c r="A144" s="169">
        <v>45261</v>
      </c>
      <c r="B144" s="159">
        <f t="shared" si="34"/>
        <v>2023</v>
      </c>
      <c r="C144" s="159">
        <f t="shared" si="35"/>
        <v>12</v>
      </c>
      <c r="D144" s="190">
        <f>AVERAGEIFS(data!G:G,data!A:A,'monthly-forecast'!B144,data!B:B,'monthly-forecast'!C144)</f>
        <v>330</v>
      </c>
      <c r="E144" s="190">
        <f>AVERAGEIFS(data!F:F,data!A:A,'monthly-forecast'!B144,data!B:B,'monthly-forecast'!C144)</f>
        <v>300</v>
      </c>
      <c r="F144" s="190">
        <f t="shared" si="36"/>
        <v>330</v>
      </c>
      <c r="G144" s="190">
        <f t="shared" si="37"/>
        <v>300</v>
      </c>
      <c r="H144" s="190">
        <v>177.5</v>
      </c>
      <c r="I144" s="190">
        <v>550</v>
      </c>
      <c r="J144" s="190">
        <v>285</v>
      </c>
      <c r="K144" s="170">
        <v>2.7839999999999998</v>
      </c>
      <c r="L144" s="219"/>
      <c r="M144" s="219"/>
      <c r="N144" s="219"/>
      <c r="O144" s="219"/>
      <c r="P144" s="219"/>
      <c r="Q144" s="219"/>
      <c r="R144" s="219"/>
      <c r="S144" s="202"/>
    </row>
    <row r="145" spans="1:19" x14ac:dyDescent="0.3">
      <c r="A145" s="169">
        <v>45254</v>
      </c>
      <c r="B145" s="159">
        <f t="shared" si="34"/>
        <v>2023</v>
      </c>
      <c r="C145" s="159">
        <f t="shared" si="35"/>
        <v>11</v>
      </c>
      <c r="D145" s="190">
        <f>AVERAGEIFS(data!G:G,data!A:A,'monthly-forecast'!B145,data!B:B,'monthly-forecast'!C145)</f>
        <v>280</v>
      </c>
      <c r="E145" s="190">
        <f>AVERAGEIFS(data!F:F,data!A:A,'monthly-forecast'!B145,data!B:B,'monthly-forecast'!C145)</f>
        <v>300</v>
      </c>
      <c r="F145" s="190">
        <f t="shared" si="36"/>
        <v>280</v>
      </c>
      <c r="G145" s="190">
        <f t="shared" si="37"/>
        <v>300</v>
      </c>
      <c r="H145" s="190">
        <v>194.5</v>
      </c>
      <c r="I145" s="190">
        <v>550</v>
      </c>
      <c r="J145" s="190">
        <v>330</v>
      </c>
      <c r="K145" s="170">
        <v>2.8699999999999997</v>
      </c>
      <c r="L145" s="217">
        <f>AVERAGE(D145:D148)</f>
        <v>280</v>
      </c>
      <c r="M145" s="217">
        <f>AVERAGE(E145:E148)</f>
        <v>300</v>
      </c>
      <c r="N145" s="217">
        <f>AVERAGE(D145:D148)</f>
        <v>280</v>
      </c>
      <c r="O145" s="217">
        <f>AVERAGE(E145:E148)</f>
        <v>300</v>
      </c>
      <c r="P145" s="217">
        <f t="shared" ref="P145:S145" si="50">AVERAGE(H145:H148)</f>
        <v>196.5</v>
      </c>
      <c r="Q145" s="217">
        <f t="shared" si="50"/>
        <v>550</v>
      </c>
      <c r="R145" s="217">
        <f t="shared" si="50"/>
        <v>341.875</v>
      </c>
      <c r="S145" s="200">
        <f t="shared" si="50"/>
        <v>3.1428500000000001</v>
      </c>
    </row>
    <row r="146" spans="1:19" x14ac:dyDescent="0.3">
      <c r="A146" s="169">
        <v>45247</v>
      </c>
      <c r="B146" s="159">
        <f t="shared" si="34"/>
        <v>2023</v>
      </c>
      <c r="C146" s="159">
        <f t="shared" si="35"/>
        <v>11</v>
      </c>
      <c r="D146" s="190">
        <f>AVERAGEIFS(data!G:G,data!A:A,'monthly-forecast'!B146,data!B:B,'monthly-forecast'!C146)</f>
        <v>280</v>
      </c>
      <c r="E146" s="190">
        <f>AVERAGEIFS(data!F:F,data!A:A,'monthly-forecast'!B146,data!B:B,'monthly-forecast'!C146)</f>
        <v>300</v>
      </c>
      <c r="F146" s="190">
        <f t="shared" si="36"/>
        <v>280</v>
      </c>
      <c r="G146" s="190">
        <f t="shared" si="37"/>
        <v>300</v>
      </c>
      <c r="H146" s="190">
        <v>194.5</v>
      </c>
      <c r="I146" s="190">
        <v>550</v>
      </c>
      <c r="J146" s="190">
        <v>330</v>
      </c>
      <c r="K146" s="170">
        <v>3.1030000000000002</v>
      </c>
      <c r="L146" s="218"/>
      <c r="M146" s="218"/>
      <c r="N146" s="218"/>
      <c r="O146" s="218"/>
      <c r="P146" s="218"/>
      <c r="Q146" s="218"/>
      <c r="R146" s="218"/>
      <c r="S146" s="201"/>
    </row>
    <row r="147" spans="1:19" x14ac:dyDescent="0.3">
      <c r="A147" s="169">
        <v>45240</v>
      </c>
      <c r="B147" s="159">
        <f t="shared" si="34"/>
        <v>2023</v>
      </c>
      <c r="C147" s="159">
        <f t="shared" si="35"/>
        <v>11</v>
      </c>
      <c r="D147" s="190">
        <f>AVERAGEIFS(data!G:G,data!A:A,'monthly-forecast'!B147,data!B:B,'monthly-forecast'!C147)</f>
        <v>280</v>
      </c>
      <c r="E147" s="190">
        <f>AVERAGEIFS(data!F:F,data!A:A,'monthly-forecast'!B147,data!B:B,'monthly-forecast'!C147)</f>
        <v>300</v>
      </c>
      <c r="F147" s="190">
        <f t="shared" si="36"/>
        <v>280</v>
      </c>
      <c r="G147" s="190">
        <f t="shared" si="37"/>
        <v>300</v>
      </c>
      <c r="H147" s="190">
        <v>194.5</v>
      </c>
      <c r="I147" s="190">
        <v>550</v>
      </c>
      <c r="J147" s="190">
        <v>350</v>
      </c>
      <c r="K147" s="170">
        <v>3.1168</v>
      </c>
      <c r="L147" s="218"/>
      <c r="M147" s="218"/>
      <c r="N147" s="218"/>
      <c r="O147" s="218"/>
      <c r="P147" s="218"/>
      <c r="Q147" s="218"/>
      <c r="R147" s="218"/>
      <c r="S147" s="201"/>
    </row>
    <row r="148" spans="1:19" x14ac:dyDescent="0.3">
      <c r="A148" s="169">
        <v>45233</v>
      </c>
      <c r="B148" s="159">
        <f t="shared" si="34"/>
        <v>2023</v>
      </c>
      <c r="C148" s="159">
        <f t="shared" si="35"/>
        <v>11</v>
      </c>
      <c r="D148" s="190">
        <f>AVERAGEIFS(data!G:G,data!A:A,'monthly-forecast'!B148,data!B:B,'monthly-forecast'!C148)</f>
        <v>280</v>
      </c>
      <c r="E148" s="190">
        <f>AVERAGEIFS(data!F:F,data!A:A,'monthly-forecast'!B148,data!B:B,'monthly-forecast'!C148)</f>
        <v>300</v>
      </c>
      <c r="F148" s="190">
        <f t="shared" si="36"/>
        <v>280</v>
      </c>
      <c r="G148" s="190">
        <f t="shared" si="37"/>
        <v>300</v>
      </c>
      <c r="H148" s="190">
        <v>202.5</v>
      </c>
      <c r="I148" s="190">
        <v>550</v>
      </c>
      <c r="J148" s="190">
        <v>357.5</v>
      </c>
      <c r="K148" s="170">
        <v>3.4816000000000003</v>
      </c>
      <c r="L148" s="219"/>
      <c r="M148" s="219"/>
      <c r="N148" s="219"/>
      <c r="O148" s="219"/>
      <c r="P148" s="219"/>
      <c r="Q148" s="219"/>
      <c r="R148" s="219"/>
      <c r="S148" s="202"/>
    </row>
    <row r="149" spans="1:19" x14ac:dyDescent="0.3">
      <c r="A149" s="169">
        <v>45226</v>
      </c>
      <c r="B149" s="159">
        <f t="shared" si="34"/>
        <v>2023</v>
      </c>
      <c r="C149" s="159">
        <f t="shared" si="35"/>
        <v>10</v>
      </c>
      <c r="D149" s="190">
        <f>AVERAGEIFS(data!G:G,data!A:A,'monthly-forecast'!B149,data!B:B,'monthly-forecast'!C149)</f>
        <v>280</v>
      </c>
      <c r="E149" s="190">
        <f>AVERAGEIFS(data!F:F,data!A:A,'monthly-forecast'!B149,data!B:B,'monthly-forecast'!C149)</f>
        <v>250</v>
      </c>
      <c r="F149" s="190">
        <f t="shared" si="36"/>
        <v>280</v>
      </c>
      <c r="G149" s="190">
        <f t="shared" si="37"/>
        <v>250</v>
      </c>
      <c r="H149" s="190">
        <v>207.5</v>
      </c>
      <c r="I149" s="190">
        <v>550</v>
      </c>
      <c r="J149" s="190">
        <v>345</v>
      </c>
      <c r="K149" s="170">
        <v>3.0569999999999999</v>
      </c>
      <c r="L149" s="217">
        <f>AVERAGE(D149:D152)</f>
        <v>280</v>
      </c>
      <c r="M149" s="217">
        <f>AVERAGE(E149:E152)</f>
        <v>250</v>
      </c>
      <c r="N149" s="217">
        <f>AVERAGE(D149:D152)</f>
        <v>280</v>
      </c>
      <c r="O149" s="217">
        <f>AVERAGE(E149:E152)</f>
        <v>250</v>
      </c>
      <c r="P149" s="217">
        <f t="shared" ref="P149:S149" si="51">AVERAGE(H149:H152)</f>
        <v>220.625</v>
      </c>
      <c r="Q149" s="217">
        <f t="shared" si="51"/>
        <v>550</v>
      </c>
      <c r="R149" s="217">
        <f t="shared" si="51"/>
        <v>356.25</v>
      </c>
      <c r="S149" s="200">
        <f t="shared" si="51"/>
        <v>3.11775</v>
      </c>
    </row>
    <row r="150" spans="1:19" x14ac:dyDescent="0.3">
      <c r="A150" s="169">
        <v>45219</v>
      </c>
      <c r="B150" s="159">
        <f t="shared" si="34"/>
        <v>2023</v>
      </c>
      <c r="C150" s="159">
        <f t="shared" si="35"/>
        <v>10</v>
      </c>
      <c r="D150" s="190">
        <f>AVERAGEIFS(data!G:G,data!A:A,'monthly-forecast'!B150,data!B:B,'monthly-forecast'!C150)</f>
        <v>280</v>
      </c>
      <c r="E150" s="190">
        <f>AVERAGEIFS(data!F:F,data!A:A,'monthly-forecast'!B150,data!B:B,'monthly-forecast'!C150)</f>
        <v>250</v>
      </c>
      <c r="F150" s="190">
        <f t="shared" si="36"/>
        <v>280</v>
      </c>
      <c r="G150" s="190">
        <f t="shared" si="37"/>
        <v>250</v>
      </c>
      <c r="H150" s="190">
        <v>230</v>
      </c>
      <c r="I150" s="190">
        <v>550</v>
      </c>
      <c r="J150" s="190">
        <v>360</v>
      </c>
      <c r="K150" s="170">
        <v>3.02</v>
      </c>
      <c r="L150" s="218"/>
      <c r="M150" s="218"/>
      <c r="N150" s="218"/>
      <c r="O150" s="218"/>
      <c r="P150" s="218"/>
      <c r="Q150" s="218"/>
      <c r="R150" s="218"/>
      <c r="S150" s="201"/>
    </row>
    <row r="151" spans="1:19" x14ac:dyDescent="0.3">
      <c r="A151" s="169">
        <v>45212</v>
      </c>
      <c r="B151" s="159">
        <f t="shared" si="34"/>
        <v>2023</v>
      </c>
      <c r="C151" s="159">
        <f t="shared" si="35"/>
        <v>10</v>
      </c>
      <c r="D151" s="190">
        <f>AVERAGEIFS(data!G:G,data!A:A,'monthly-forecast'!B151,data!B:B,'monthly-forecast'!C151)</f>
        <v>280</v>
      </c>
      <c r="E151" s="190">
        <f>AVERAGEIFS(data!F:F,data!A:A,'monthly-forecast'!B151,data!B:B,'monthly-forecast'!C151)</f>
        <v>250</v>
      </c>
      <c r="F151" s="190">
        <f t="shared" si="36"/>
        <v>280</v>
      </c>
      <c r="G151" s="190">
        <f t="shared" si="37"/>
        <v>250</v>
      </c>
      <c r="H151" s="190">
        <v>230</v>
      </c>
      <c r="I151" s="190">
        <v>550</v>
      </c>
      <c r="J151" s="190">
        <v>360</v>
      </c>
      <c r="K151" s="170">
        <v>3.343</v>
      </c>
      <c r="L151" s="218"/>
      <c r="M151" s="218"/>
      <c r="N151" s="218"/>
      <c r="O151" s="218"/>
      <c r="P151" s="218"/>
      <c r="Q151" s="218"/>
      <c r="R151" s="218"/>
      <c r="S151" s="201"/>
    </row>
    <row r="152" spans="1:19" x14ac:dyDescent="0.3">
      <c r="A152" s="169">
        <v>45205</v>
      </c>
      <c r="B152" s="159">
        <f t="shared" si="34"/>
        <v>2023</v>
      </c>
      <c r="C152" s="159">
        <f t="shared" si="35"/>
        <v>10</v>
      </c>
      <c r="D152" s="190">
        <f>AVERAGEIFS(data!G:G,data!A:A,'monthly-forecast'!B152,data!B:B,'monthly-forecast'!C152)</f>
        <v>280</v>
      </c>
      <c r="E152" s="190">
        <f>AVERAGEIFS(data!F:F,data!A:A,'monthly-forecast'!B152,data!B:B,'monthly-forecast'!C152)</f>
        <v>250</v>
      </c>
      <c r="F152" s="190">
        <f t="shared" si="36"/>
        <v>280</v>
      </c>
      <c r="G152" s="190">
        <f t="shared" si="37"/>
        <v>250</v>
      </c>
      <c r="H152" s="190">
        <v>215</v>
      </c>
      <c r="I152" s="190">
        <v>550</v>
      </c>
      <c r="J152" s="190">
        <v>360</v>
      </c>
      <c r="K152" s="170">
        <v>3.0509999999999997</v>
      </c>
      <c r="L152" s="219"/>
      <c r="M152" s="219"/>
      <c r="N152" s="219"/>
      <c r="O152" s="219"/>
      <c r="P152" s="219"/>
      <c r="Q152" s="219"/>
      <c r="R152" s="219"/>
      <c r="S152" s="202"/>
    </row>
    <row r="153" spans="1:19" x14ac:dyDescent="0.3">
      <c r="A153" s="169">
        <v>45198</v>
      </c>
      <c r="B153" s="159">
        <f t="shared" ref="B153:B213" si="52">YEAR(A153)</f>
        <v>2023</v>
      </c>
      <c r="C153" s="159">
        <f t="shared" ref="C153:C213" si="53">MONTH(A153)</f>
        <v>9</v>
      </c>
      <c r="D153" s="190">
        <f>AVERAGEIFS(data!G:G,data!A:A,'monthly-forecast'!B153,data!B:B,'monthly-forecast'!C153)</f>
        <v>280</v>
      </c>
      <c r="E153" s="190">
        <f>AVERAGEIFS(data!F:F,data!A:A,'monthly-forecast'!B153,data!B:B,'monthly-forecast'!C153)</f>
        <v>250</v>
      </c>
      <c r="F153" s="190">
        <f t="shared" ref="F153:F213" si="54">D153</f>
        <v>280</v>
      </c>
      <c r="G153" s="190">
        <f t="shared" ref="G153:G213" si="55">E153</f>
        <v>250</v>
      </c>
      <c r="H153" s="190">
        <v>235</v>
      </c>
      <c r="I153" s="190">
        <v>550</v>
      </c>
      <c r="J153" s="190">
        <v>350</v>
      </c>
      <c r="K153" s="170">
        <v>2.7866</v>
      </c>
      <c r="L153" s="217">
        <f>AVERAGE(D153:D157)</f>
        <v>280</v>
      </c>
      <c r="M153" s="217">
        <f>AVERAGE(E153:E157)</f>
        <v>250</v>
      </c>
      <c r="N153" s="217">
        <f>AVERAGE(D153:D157)</f>
        <v>280</v>
      </c>
      <c r="O153" s="217">
        <f>AVERAGE(E153:E157)</f>
        <v>250</v>
      </c>
      <c r="P153" s="217">
        <f t="shared" ref="P153:S153" si="56">AVERAGE(H153:H157)</f>
        <v>256</v>
      </c>
      <c r="Q153" s="217">
        <f t="shared" si="56"/>
        <v>448</v>
      </c>
      <c r="R153" s="217">
        <f t="shared" si="56"/>
        <v>349.1</v>
      </c>
      <c r="S153" s="200">
        <f t="shared" si="56"/>
        <v>2.6872400000000001</v>
      </c>
    </row>
    <row r="154" spans="1:19" x14ac:dyDescent="0.3">
      <c r="A154" s="169">
        <v>45191</v>
      </c>
      <c r="B154" s="159">
        <f t="shared" si="52"/>
        <v>2023</v>
      </c>
      <c r="C154" s="159">
        <f t="shared" si="53"/>
        <v>9</v>
      </c>
      <c r="D154" s="190">
        <f>AVERAGEIFS(data!G:G,data!A:A,'monthly-forecast'!B154,data!B:B,'monthly-forecast'!C154)</f>
        <v>280</v>
      </c>
      <c r="E154" s="190">
        <f>AVERAGEIFS(data!F:F,data!A:A,'monthly-forecast'!B154,data!B:B,'monthly-forecast'!C154)</f>
        <v>250</v>
      </c>
      <c r="F154" s="190">
        <f t="shared" si="54"/>
        <v>280</v>
      </c>
      <c r="G154" s="190">
        <f t="shared" si="55"/>
        <v>250</v>
      </c>
      <c r="H154" s="190">
        <v>240</v>
      </c>
      <c r="I154" s="190">
        <v>445</v>
      </c>
      <c r="J154" s="190">
        <v>350</v>
      </c>
      <c r="K154" s="170">
        <v>2.7111999999999998</v>
      </c>
      <c r="L154" s="218"/>
      <c r="M154" s="218"/>
      <c r="N154" s="218"/>
      <c r="O154" s="218"/>
      <c r="P154" s="218"/>
      <c r="Q154" s="218"/>
      <c r="R154" s="218"/>
      <c r="S154" s="201"/>
    </row>
    <row r="155" spans="1:19" x14ac:dyDescent="0.3">
      <c r="A155" s="169">
        <v>45184</v>
      </c>
      <c r="B155" s="159">
        <f t="shared" si="52"/>
        <v>2023</v>
      </c>
      <c r="C155" s="159">
        <f t="shared" si="53"/>
        <v>9</v>
      </c>
      <c r="D155" s="190">
        <f>AVERAGEIFS(data!G:G,data!A:A,'monthly-forecast'!B155,data!B:B,'monthly-forecast'!C155)</f>
        <v>280</v>
      </c>
      <c r="E155" s="190">
        <f>AVERAGEIFS(data!F:F,data!A:A,'monthly-forecast'!B155,data!B:B,'monthly-forecast'!C155)</f>
        <v>250</v>
      </c>
      <c r="F155" s="190">
        <f t="shared" si="54"/>
        <v>280</v>
      </c>
      <c r="G155" s="190">
        <f t="shared" si="55"/>
        <v>250</v>
      </c>
      <c r="H155" s="190">
        <v>280</v>
      </c>
      <c r="I155" s="190">
        <v>445</v>
      </c>
      <c r="J155" s="190">
        <v>350</v>
      </c>
      <c r="K155" s="170">
        <v>2.6766000000000001</v>
      </c>
      <c r="L155" s="218"/>
      <c r="M155" s="218"/>
      <c r="N155" s="218"/>
      <c r="O155" s="218"/>
      <c r="P155" s="218"/>
      <c r="Q155" s="218"/>
      <c r="R155" s="218"/>
      <c r="S155" s="201"/>
    </row>
    <row r="156" spans="1:19" x14ac:dyDescent="0.3">
      <c r="A156" s="169">
        <v>45177</v>
      </c>
      <c r="B156" s="159">
        <f t="shared" si="52"/>
        <v>2023</v>
      </c>
      <c r="C156" s="159">
        <f t="shared" si="53"/>
        <v>9</v>
      </c>
      <c r="D156" s="190">
        <f>AVERAGEIFS(data!G:G,data!A:A,'monthly-forecast'!B156,data!B:B,'monthly-forecast'!C156)</f>
        <v>280</v>
      </c>
      <c r="E156" s="190">
        <f>AVERAGEIFS(data!F:F,data!A:A,'monthly-forecast'!B156,data!B:B,'monthly-forecast'!C156)</f>
        <v>250</v>
      </c>
      <c r="F156" s="190">
        <f t="shared" si="54"/>
        <v>280</v>
      </c>
      <c r="G156" s="190">
        <f t="shared" si="55"/>
        <v>250</v>
      </c>
      <c r="H156" s="190">
        <v>280</v>
      </c>
      <c r="I156" s="190">
        <v>400</v>
      </c>
      <c r="J156" s="190">
        <v>375.5</v>
      </c>
      <c r="K156" s="170">
        <v>2.569</v>
      </c>
      <c r="L156" s="218"/>
      <c r="M156" s="218"/>
      <c r="N156" s="218"/>
      <c r="O156" s="218"/>
      <c r="P156" s="218"/>
      <c r="Q156" s="218"/>
      <c r="R156" s="218"/>
      <c r="S156" s="201"/>
    </row>
    <row r="157" spans="1:19" x14ac:dyDescent="0.3">
      <c r="A157" s="169">
        <v>45170</v>
      </c>
      <c r="B157" s="159">
        <f t="shared" si="52"/>
        <v>2023</v>
      </c>
      <c r="C157" s="159">
        <f t="shared" si="53"/>
        <v>9</v>
      </c>
      <c r="D157" s="190">
        <f>AVERAGEIFS(data!G:G,data!A:A,'monthly-forecast'!B157,data!B:B,'monthly-forecast'!C157)</f>
        <v>280</v>
      </c>
      <c r="E157" s="190">
        <f>AVERAGEIFS(data!F:F,data!A:A,'monthly-forecast'!B157,data!B:B,'monthly-forecast'!C157)</f>
        <v>250</v>
      </c>
      <c r="F157" s="190">
        <f t="shared" si="54"/>
        <v>280</v>
      </c>
      <c r="G157" s="190">
        <f t="shared" si="55"/>
        <v>250</v>
      </c>
      <c r="H157" s="190">
        <v>245</v>
      </c>
      <c r="I157" s="190">
        <v>400</v>
      </c>
      <c r="J157" s="190">
        <v>320</v>
      </c>
      <c r="K157" s="170">
        <v>2.6927999999999996</v>
      </c>
      <c r="L157" s="219"/>
      <c r="M157" s="219"/>
      <c r="N157" s="219"/>
      <c r="O157" s="219"/>
      <c r="P157" s="219"/>
      <c r="Q157" s="219"/>
      <c r="R157" s="219"/>
      <c r="S157" s="202"/>
    </row>
    <row r="158" spans="1:19" x14ac:dyDescent="0.3">
      <c r="A158" s="169">
        <v>45163</v>
      </c>
      <c r="B158" s="159">
        <f t="shared" si="52"/>
        <v>2023</v>
      </c>
      <c r="C158" s="159">
        <f t="shared" si="53"/>
        <v>8</v>
      </c>
      <c r="D158" s="190">
        <f>AVERAGEIFS(data!G:G,data!A:A,'monthly-forecast'!B158,data!B:B,'monthly-forecast'!C158)</f>
        <v>280</v>
      </c>
      <c r="E158" s="190">
        <f>AVERAGEIFS(data!F:F,data!A:A,'monthly-forecast'!B158,data!B:B,'monthly-forecast'!C158)</f>
        <v>250</v>
      </c>
      <c r="F158" s="190">
        <f t="shared" si="54"/>
        <v>280</v>
      </c>
      <c r="G158" s="190">
        <f t="shared" si="55"/>
        <v>250</v>
      </c>
      <c r="H158" s="190">
        <v>245</v>
      </c>
      <c r="I158" s="190">
        <v>400</v>
      </c>
      <c r="J158" s="190">
        <v>330</v>
      </c>
      <c r="K158" s="170">
        <v>2.5495999999999999</v>
      </c>
      <c r="L158" s="217">
        <f>AVERAGE(D158:D161)</f>
        <v>280</v>
      </c>
      <c r="M158" s="217">
        <f>AVERAGE(E158:E161)</f>
        <v>250</v>
      </c>
      <c r="N158" s="217">
        <f>AVERAGE(D158:D161)</f>
        <v>280</v>
      </c>
      <c r="O158" s="217">
        <f>AVERAGE(E158:E161)</f>
        <v>250</v>
      </c>
      <c r="P158" s="217">
        <f t="shared" ref="P158:S158" si="57">AVERAGE(H158:H161)</f>
        <v>216.25</v>
      </c>
      <c r="Q158" s="217">
        <f t="shared" si="57"/>
        <v>333.75</v>
      </c>
      <c r="R158" s="217">
        <f t="shared" si="57"/>
        <v>357.5</v>
      </c>
      <c r="S158" s="200">
        <f t="shared" si="57"/>
        <v>2.6386499999999997</v>
      </c>
    </row>
    <row r="159" spans="1:19" x14ac:dyDescent="0.3">
      <c r="A159" s="169">
        <v>45156</v>
      </c>
      <c r="B159" s="159">
        <f t="shared" si="52"/>
        <v>2023</v>
      </c>
      <c r="C159" s="159">
        <f t="shared" si="53"/>
        <v>8</v>
      </c>
      <c r="D159" s="190">
        <f>AVERAGEIFS(data!G:G,data!A:A,'monthly-forecast'!B159,data!B:B,'monthly-forecast'!C159)</f>
        <v>280</v>
      </c>
      <c r="E159" s="190">
        <f>AVERAGEIFS(data!F:F,data!A:A,'monthly-forecast'!B159,data!B:B,'monthly-forecast'!C159)</f>
        <v>250</v>
      </c>
      <c r="F159" s="190">
        <f t="shared" si="54"/>
        <v>280</v>
      </c>
      <c r="G159" s="190">
        <f t="shared" si="55"/>
        <v>250</v>
      </c>
      <c r="H159" s="190">
        <v>240</v>
      </c>
      <c r="I159" s="190">
        <v>320</v>
      </c>
      <c r="J159" s="190">
        <v>355</v>
      </c>
      <c r="K159" s="170">
        <v>2.6436000000000002</v>
      </c>
      <c r="L159" s="218"/>
      <c r="M159" s="218"/>
      <c r="N159" s="218"/>
      <c r="O159" s="218"/>
      <c r="P159" s="218"/>
      <c r="Q159" s="218"/>
      <c r="R159" s="218"/>
      <c r="S159" s="201"/>
    </row>
    <row r="160" spans="1:19" x14ac:dyDescent="0.3">
      <c r="A160" s="169">
        <v>45149</v>
      </c>
      <c r="B160" s="159">
        <f t="shared" si="52"/>
        <v>2023</v>
      </c>
      <c r="C160" s="159">
        <f t="shared" si="53"/>
        <v>8</v>
      </c>
      <c r="D160" s="190">
        <f>AVERAGEIFS(data!G:G,data!A:A,'monthly-forecast'!B160,data!B:B,'monthly-forecast'!C160)</f>
        <v>280</v>
      </c>
      <c r="E160" s="190">
        <f>AVERAGEIFS(data!F:F,data!A:A,'monthly-forecast'!B160,data!B:B,'monthly-forecast'!C160)</f>
        <v>250</v>
      </c>
      <c r="F160" s="190">
        <f t="shared" si="54"/>
        <v>280</v>
      </c>
      <c r="G160" s="190">
        <f t="shared" si="55"/>
        <v>250</v>
      </c>
      <c r="H160" s="190">
        <v>190</v>
      </c>
      <c r="I160" s="190">
        <v>320</v>
      </c>
      <c r="J160" s="190">
        <v>350</v>
      </c>
      <c r="K160" s="170">
        <v>2.7987999999999995</v>
      </c>
      <c r="L160" s="218"/>
      <c r="M160" s="218"/>
      <c r="N160" s="218"/>
      <c r="O160" s="218"/>
      <c r="P160" s="218"/>
      <c r="Q160" s="218"/>
      <c r="R160" s="218"/>
      <c r="S160" s="201"/>
    </row>
    <row r="161" spans="1:19" x14ac:dyDescent="0.3">
      <c r="A161" s="169">
        <v>45142</v>
      </c>
      <c r="B161" s="159">
        <f t="shared" si="52"/>
        <v>2023</v>
      </c>
      <c r="C161" s="159">
        <f t="shared" si="53"/>
        <v>8</v>
      </c>
      <c r="D161" s="190">
        <f>AVERAGEIFS(data!G:G,data!A:A,'monthly-forecast'!B161,data!B:B,'monthly-forecast'!C161)</f>
        <v>280</v>
      </c>
      <c r="E161" s="190">
        <f>AVERAGEIFS(data!F:F,data!A:A,'monthly-forecast'!B161,data!B:B,'monthly-forecast'!C161)</f>
        <v>250</v>
      </c>
      <c r="F161" s="190">
        <f t="shared" si="54"/>
        <v>280</v>
      </c>
      <c r="G161" s="190">
        <f t="shared" si="55"/>
        <v>250</v>
      </c>
      <c r="H161" s="190">
        <v>190</v>
      </c>
      <c r="I161" s="190">
        <v>295</v>
      </c>
      <c r="J161" s="190">
        <v>395</v>
      </c>
      <c r="K161" s="170">
        <v>2.5626000000000002</v>
      </c>
      <c r="L161" s="219"/>
      <c r="M161" s="219"/>
      <c r="N161" s="219"/>
      <c r="O161" s="219"/>
      <c r="P161" s="219"/>
      <c r="Q161" s="219"/>
      <c r="R161" s="219"/>
      <c r="S161" s="202"/>
    </row>
    <row r="162" spans="1:19" x14ac:dyDescent="0.3">
      <c r="A162" s="169">
        <v>45135</v>
      </c>
      <c r="B162" s="159">
        <f t="shared" si="52"/>
        <v>2023</v>
      </c>
      <c r="C162" s="159">
        <f t="shared" si="53"/>
        <v>7</v>
      </c>
      <c r="D162" s="190">
        <f>AVERAGEIFS(data!G:G,data!A:A,'monthly-forecast'!B162,data!B:B,'monthly-forecast'!C162)</f>
        <v>330</v>
      </c>
      <c r="E162" s="190">
        <f>AVERAGEIFS(data!F:F,data!A:A,'monthly-forecast'!B162,data!B:B,'monthly-forecast'!C162)</f>
        <v>300</v>
      </c>
      <c r="F162" s="190">
        <f t="shared" si="54"/>
        <v>330</v>
      </c>
      <c r="G162" s="190">
        <f t="shared" si="55"/>
        <v>300</v>
      </c>
      <c r="H162" s="190">
        <v>190</v>
      </c>
      <c r="I162" s="190">
        <v>295</v>
      </c>
      <c r="J162" s="190">
        <v>354</v>
      </c>
      <c r="K162" s="170">
        <v>2.6420000000000003</v>
      </c>
      <c r="L162" s="217">
        <f>AVERAGE(D162:D165)</f>
        <v>330</v>
      </c>
      <c r="M162" s="217">
        <f>AVERAGE(E162:E165)</f>
        <v>300</v>
      </c>
      <c r="N162" s="217">
        <f>AVERAGE(D162:D165)</f>
        <v>330</v>
      </c>
      <c r="O162" s="217">
        <f>AVERAGE(E162:E165)</f>
        <v>300</v>
      </c>
      <c r="P162" s="217">
        <f t="shared" ref="P162:S162" si="58">AVERAGE(H162:H165)</f>
        <v>149.375</v>
      </c>
      <c r="Q162" s="217">
        <f t="shared" si="58"/>
        <v>257.5</v>
      </c>
      <c r="R162" s="217">
        <f t="shared" si="58"/>
        <v>305.75</v>
      </c>
      <c r="S162" s="200">
        <f t="shared" si="58"/>
        <v>2.6368125</v>
      </c>
    </row>
    <row r="163" spans="1:19" x14ac:dyDescent="0.3">
      <c r="A163" s="169">
        <v>45128</v>
      </c>
      <c r="B163" s="159">
        <f t="shared" si="52"/>
        <v>2023</v>
      </c>
      <c r="C163" s="159">
        <f t="shared" si="53"/>
        <v>7</v>
      </c>
      <c r="D163" s="190">
        <f>AVERAGEIFS(data!G:G,data!A:A,'monthly-forecast'!B163,data!B:B,'monthly-forecast'!C163)</f>
        <v>330</v>
      </c>
      <c r="E163" s="190">
        <f>AVERAGEIFS(data!F:F,data!A:A,'monthly-forecast'!B163,data!B:B,'monthly-forecast'!C163)</f>
        <v>300</v>
      </c>
      <c r="F163" s="190">
        <f t="shared" si="54"/>
        <v>330</v>
      </c>
      <c r="G163" s="190">
        <f t="shared" si="55"/>
        <v>300</v>
      </c>
      <c r="H163" s="190">
        <v>152.5</v>
      </c>
      <c r="I163" s="190">
        <v>325</v>
      </c>
      <c r="J163" s="190">
        <v>312.5</v>
      </c>
      <c r="K163" s="170">
        <v>2.6428000000000003</v>
      </c>
      <c r="L163" s="218"/>
      <c r="M163" s="218"/>
      <c r="N163" s="218"/>
      <c r="O163" s="218"/>
      <c r="P163" s="218"/>
      <c r="Q163" s="218"/>
      <c r="R163" s="218"/>
      <c r="S163" s="201"/>
    </row>
    <row r="164" spans="1:19" x14ac:dyDescent="0.3">
      <c r="A164" s="169">
        <v>45121</v>
      </c>
      <c r="B164" s="159">
        <f t="shared" si="52"/>
        <v>2023</v>
      </c>
      <c r="C164" s="159">
        <f t="shared" si="53"/>
        <v>7</v>
      </c>
      <c r="D164" s="190">
        <f>AVERAGEIFS(data!G:G,data!A:A,'monthly-forecast'!B164,data!B:B,'monthly-forecast'!C164)</f>
        <v>330</v>
      </c>
      <c r="E164" s="190">
        <f>AVERAGEIFS(data!F:F,data!A:A,'monthly-forecast'!B164,data!B:B,'monthly-forecast'!C164)</f>
        <v>300</v>
      </c>
      <c r="F164" s="190">
        <f t="shared" si="54"/>
        <v>330</v>
      </c>
      <c r="G164" s="190">
        <f t="shared" si="55"/>
        <v>300</v>
      </c>
      <c r="H164" s="190">
        <v>127.5</v>
      </c>
      <c r="I164" s="190">
        <v>205</v>
      </c>
      <c r="J164" s="190">
        <v>310</v>
      </c>
      <c r="K164" s="170">
        <v>2.6231999999999998</v>
      </c>
      <c r="L164" s="218"/>
      <c r="M164" s="218"/>
      <c r="N164" s="218"/>
      <c r="O164" s="218"/>
      <c r="P164" s="218"/>
      <c r="Q164" s="218"/>
      <c r="R164" s="218"/>
      <c r="S164" s="201"/>
    </row>
    <row r="165" spans="1:19" x14ac:dyDescent="0.3">
      <c r="A165" s="169">
        <v>45114</v>
      </c>
      <c r="B165" s="159">
        <f t="shared" si="52"/>
        <v>2023</v>
      </c>
      <c r="C165" s="159">
        <f t="shared" si="53"/>
        <v>7</v>
      </c>
      <c r="D165" s="190">
        <f>AVERAGEIFS(data!G:G,data!A:A,'monthly-forecast'!B165,data!B:B,'monthly-forecast'!C165)</f>
        <v>330</v>
      </c>
      <c r="E165" s="190">
        <f>AVERAGEIFS(data!F:F,data!A:A,'monthly-forecast'!B165,data!B:B,'monthly-forecast'!C165)</f>
        <v>300</v>
      </c>
      <c r="F165" s="190">
        <f t="shared" si="54"/>
        <v>330</v>
      </c>
      <c r="G165" s="190">
        <f t="shared" si="55"/>
        <v>300</v>
      </c>
      <c r="H165" s="190">
        <v>127.5</v>
      </c>
      <c r="I165" s="190">
        <v>205</v>
      </c>
      <c r="J165" s="190">
        <v>246.5</v>
      </c>
      <c r="K165" s="170">
        <v>2.6392500000000001</v>
      </c>
      <c r="L165" s="219"/>
      <c r="M165" s="219"/>
      <c r="N165" s="219"/>
      <c r="O165" s="219"/>
      <c r="P165" s="219"/>
      <c r="Q165" s="219"/>
      <c r="R165" s="219"/>
      <c r="S165" s="202"/>
    </row>
    <row r="166" spans="1:19" x14ac:dyDescent="0.3">
      <c r="A166" s="169">
        <v>45107</v>
      </c>
      <c r="B166" s="159">
        <f t="shared" si="52"/>
        <v>2023</v>
      </c>
      <c r="C166" s="159">
        <f t="shared" si="53"/>
        <v>6</v>
      </c>
      <c r="D166" s="190">
        <f>AVERAGEIFS(data!G:G,data!A:A,'monthly-forecast'!B166,data!B:B,'monthly-forecast'!C166)</f>
        <v>330</v>
      </c>
      <c r="E166" s="190">
        <f>AVERAGEIFS(data!F:F,data!A:A,'monthly-forecast'!B166,data!B:B,'monthly-forecast'!C166)</f>
        <v>300</v>
      </c>
      <c r="F166" s="190">
        <f t="shared" si="54"/>
        <v>330</v>
      </c>
      <c r="G166" s="190">
        <f t="shared" si="55"/>
        <v>300</v>
      </c>
      <c r="H166" s="190">
        <v>130</v>
      </c>
      <c r="I166" s="190">
        <v>205</v>
      </c>
      <c r="J166" s="190">
        <v>246.5</v>
      </c>
      <c r="K166" s="170">
        <v>2.7312000000000003</v>
      </c>
      <c r="L166" s="217">
        <f>AVERAGE(D166:D170)</f>
        <v>330</v>
      </c>
      <c r="M166" s="217">
        <f>AVERAGE(E166:E170)</f>
        <v>300</v>
      </c>
      <c r="N166" s="217">
        <f>AVERAGE(D166:D170)</f>
        <v>330</v>
      </c>
      <c r="O166" s="217">
        <f>AVERAGE(E166:E170)</f>
        <v>300</v>
      </c>
      <c r="P166" s="217">
        <f t="shared" ref="P166:S166" si="59">AVERAGE(H166:H170)</f>
        <v>136.5</v>
      </c>
      <c r="Q166" s="217">
        <f t="shared" si="59"/>
        <v>206</v>
      </c>
      <c r="R166" s="217">
        <f t="shared" si="59"/>
        <v>254.1</v>
      </c>
      <c r="S166" s="200">
        <f t="shared" si="59"/>
        <v>2.4558900000000001</v>
      </c>
    </row>
    <row r="167" spans="1:19" x14ac:dyDescent="0.3">
      <c r="A167" s="169">
        <v>45100</v>
      </c>
      <c r="B167" s="159">
        <f t="shared" si="52"/>
        <v>2023</v>
      </c>
      <c r="C167" s="159">
        <f t="shared" si="53"/>
        <v>6</v>
      </c>
      <c r="D167" s="190">
        <f>AVERAGEIFS(data!G:G,data!A:A,'monthly-forecast'!B167,data!B:B,'monthly-forecast'!C167)</f>
        <v>330</v>
      </c>
      <c r="E167" s="190">
        <f>AVERAGEIFS(data!F:F,data!A:A,'monthly-forecast'!B167,data!B:B,'monthly-forecast'!C167)</f>
        <v>300</v>
      </c>
      <c r="F167" s="190">
        <f t="shared" si="54"/>
        <v>330</v>
      </c>
      <c r="G167" s="190">
        <f t="shared" si="55"/>
        <v>300</v>
      </c>
      <c r="H167" s="190">
        <v>127.5</v>
      </c>
      <c r="I167" s="190">
        <v>205</v>
      </c>
      <c r="J167" s="190">
        <v>246.5</v>
      </c>
      <c r="K167" s="170">
        <v>2.6064999999999996</v>
      </c>
      <c r="L167" s="218"/>
      <c r="M167" s="218"/>
      <c r="N167" s="218"/>
      <c r="O167" s="218"/>
      <c r="P167" s="218"/>
      <c r="Q167" s="218"/>
      <c r="R167" s="218"/>
      <c r="S167" s="201"/>
    </row>
    <row r="168" spans="1:19" x14ac:dyDescent="0.3">
      <c r="A168" s="169">
        <v>45093</v>
      </c>
      <c r="B168" s="159">
        <f t="shared" si="52"/>
        <v>2023</v>
      </c>
      <c r="C168" s="159">
        <f t="shared" si="53"/>
        <v>6</v>
      </c>
      <c r="D168" s="190">
        <f>AVERAGEIFS(data!G:G,data!A:A,'monthly-forecast'!B168,data!B:B,'monthly-forecast'!C168)</f>
        <v>330</v>
      </c>
      <c r="E168" s="190">
        <f>AVERAGEIFS(data!F:F,data!A:A,'monthly-forecast'!B168,data!B:B,'monthly-forecast'!C168)</f>
        <v>300</v>
      </c>
      <c r="F168" s="190">
        <f t="shared" si="54"/>
        <v>330</v>
      </c>
      <c r="G168" s="190">
        <f t="shared" si="55"/>
        <v>300</v>
      </c>
      <c r="H168" s="190">
        <v>127.5</v>
      </c>
      <c r="I168" s="190">
        <v>205</v>
      </c>
      <c r="J168" s="190">
        <v>252.5</v>
      </c>
      <c r="K168" s="170">
        <v>2.4226000000000001</v>
      </c>
      <c r="L168" s="218"/>
      <c r="M168" s="218"/>
      <c r="N168" s="218"/>
      <c r="O168" s="218"/>
      <c r="P168" s="218"/>
      <c r="Q168" s="218"/>
      <c r="R168" s="218"/>
      <c r="S168" s="201"/>
    </row>
    <row r="169" spans="1:19" x14ac:dyDescent="0.3">
      <c r="A169" s="169">
        <v>45086</v>
      </c>
      <c r="B169" s="159">
        <f t="shared" si="52"/>
        <v>2023</v>
      </c>
      <c r="C169" s="159">
        <f t="shared" si="53"/>
        <v>6</v>
      </c>
      <c r="D169" s="190">
        <f>AVERAGEIFS(data!G:G,data!A:A,'monthly-forecast'!B169,data!B:B,'monthly-forecast'!C169)</f>
        <v>330</v>
      </c>
      <c r="E169" s="190">
        <f>AVERAGEIFS(data!F:F,data!A:A,'monthly-forecast'!B169,data!B:B,'monthly-forecast'!C169)</f>
        <v>300</v>
      </c>
      <c r="F169" s="190">
        <f t="shared" si="54"/>
        <v>330</v>
      </c>
      <c r="G169" s="190">
        <f t="shared" si="55"/>
        <v>300</v>
      </c>
      <c r="H169" s="190">
        <v>150</v>
      </c>
      <c r="I169" s="190">
        <v>205</v>
      </c>
      <c r="J169" s="190">
        <v>255</v>
      </c>
      <c r="K169" s="170">
        <v>2.2884000000000002</v>
      </c>
      <c r="L169" s="218"/>
      <c r="M169" s="218"/>
      <c r="N169" s="218"/>
      <c r="O169" s="218"/>
      <c r="P169" s="218"/>
      <c r="Q169" s="218"/>
      <c r="R169" s="218"/>
      <c r="S169" s="201"/>
    </row>
    <row r="170" spans="1:19" x14ac:dyDescent="0.3">
      <c r="A170" s="169">
        <v>45079</v>
      </c>
      <c r="B170" s="159">
        <f t="shared" si="52"/>
        <v>2023</v>
      </c>
      <c r="C170" s="159">
        <f t="shared" si="53"/>
        <v>6</v>
      </c>
      <c r="D170" s="190">
        <f>AVERAGEIFS(data!G:G,data!A:A,'monthly-forecast'!B170,data!B:B,'monthly-forecast'!C170)</f>
        <v>330</v>
      </c>
      <c r="E170" s="190">
        <f>AVERAGEIFS(data!F:F,data!A:A,'monthly-forecast'!B170,data!B:B,'monthly-forecast'!C170)</f>
        <v>300</v>
      </c>
      <c r="F170" s="190">
        <f t="shared" si="54"/>
        <v>330</v>
      </c>
      <c r="G170" s="190">
        <f t="shared" si="55"/>
        <v>300</v>
      </c>
      <c r="H170" s="190">
        <v>147.5</v>
      </c>
      <c r="I170" s="190">
        <v>210</v>
      </c>
      <c r="J170" s="190">
        <v>270</v>
      </c>
      <c r="K170" s="170">
        <v>2.23075</v>
      </c>
      <c r="L170" s="219"/>
      <c r="M170" s="219"/>
      <c r="N170" s="219"/>
      <c r="O170" s="219"/>
      <c r="P170" s="219"/>
      <c r="Q170" s="219"/>
      <c r="R170" s="219"/>
      <c r="S170" s="202"/>
    </row>
    <row r="171" spans="1:19" x14ac:dyDescent="0.3">
      <c r="A171" s="169">
        <v>45072</v>
      </c>
      <c r="B171" s="159">
        <f t="shared" si="52"/>
        <v>2023</v>
      </c>
      <c r="C171" s="159">
        <f t="shared" si="53"/>
        <v>5</v>
      </c>
      <c r="D171" s="190">
        <f>AVERAGEIFS(data!G:G,data!A:A,'monthly-forecast'!B171,data!B:B,'monthly-forecast'!C171)</f>
        <v>330</v>
      </c>
      <c r="E171" s="190">
        <f>AVERAGEIFS(data!F:F,data!A:A,'monthly-forecast'!B171,data!B:B,'monthly-forecast'!C171)</f>
        <v>460</v>
      </c>
      <c r="F171" s="190">
        <f t="shared" si="54"/>
        <v>330</v>
      </c>
      <c r="G171" s="190">
        <f t="shared" si="55"/>
        <v>460</v>
      </c>
      <c r="H171" s="190">
        <v>175</v>
      </c>
      <c r="I171" s="190">
        <v>222.5</v>
      </c>
      <c r="J171" s="190">
        <v>280</v>
      </c>
      <c r="K171" s="170">
        <v>2.3213999999999997</v>
      </c>
      <c r="L171" s="217">
        <f>AVERAGE(D171:D174)</f>
        <v>330</v>
      </c>
      <c r="M171" s="217">
        <f>AVERAGE(E171:E174)</f>
        <v>460</v>
      </c>
      <c r="N171" s="217">
        <f>AVERAGE(D171:D174)</f>
        <v>330</v>
      </c>
      <c r="O171" s="217">
        <f>AVERAGE(E171:E174)</f>
        <v>460</v>
      </c>
      <c r="P171" s="217">
        <f t="shared" ref="P171:S171" si="60">AVERAGE(H171:H174)</f>
        <v>175.625</v>
      </c>
      <c r="Q171" s="217">
        <f t="shared" si="60"/>
        <v>241.25</v>
      </c>
      <c r="R171" s="217">
        <f t="shared" si="60"/>
        <v>295.625</v>
      </c>
      <c r="S171" s="200">
        <f t="shared" si="60"/>
        <v>2.2995999999999999</v>
      </c>
    </row>
    <row r="172" spans="1:19" x14ac:dyDescent="0.3">
      <c r="A172" s="169">
        <v>45065</v>
      </c>
      <c r="B172" s="159">
        <f t="shared" si="52"/>
        <v>2023</v>
      </c>
      <c r="C172" s="159">
        <f t="shared" si="53"/>
        <v>5</v>
      </c>
      <c r="D172" s="190">
        <f>AVERAGEIFS(data!G:G,data!A:A,'monthly-forecast'!B172,data!B:B,'monthly-forecast'!C172)</f>
        <v>330</v>
      </c>
      <c r="E172" s="190">
        <f>AVERAGEIFS(data!F:F,data!A:A,'monthly-forecast'!B172,data!B:B,'monthly-forecast'!C172)</f>
        <v>460</v>
      </c>
      <c r="F172" s="190">
        <f t="shared" si="54"/>
        <v>330</v>
      </c>
      <c r="G172" s="190">
        <f t="shared" si="55"/>
        <v>460</v>
      </c>
      <c r="H172" s="190">
        <v>172.5</v>
      </c>
      <c r="I172" s="190">
        <v>247.5</v>
      </c>
      <c r="J172" s="190">
        <v>297.5</v>
      </c>
      <c r="K172" s="170">
        <v>2.4585999999999997</v>
      </c>
      <c r="L172" s="218"/>
      <c r="M172" s="218"/>
      <c r="N172" s="218"/>
      <c r="O172" s="218"/>
      <c r="P172" s="218"/>
      <c r="Q172" s="218"/>
      <c r="R172" s="218"/>
      <c r="S172" s="201"/>
    </row>
    <row r="173" spans="1:19" x14ac:dyDescent="0.3">
      <c r="A173" s="169">
        <v>45058</v>
      </c>
      <c r="B173" s="159">
        <f t="shared" si="52"/>
        <v>2023</v>
      </c>
      <c r="C173" s="159">
        <f t="shared" si="53"/>
        <v>5</v>
      </c>
      <c r="D173" s="190">
        <f>AVERAGEIFS(data!G:G,data!A:A,'monthly-forecast'!B173,data!B:B,'monthly-forecast'!C173)</f>
        <v>330</v>
      </c>
      <c r="E173" s="190">
        <f>AVERAGEIFS(data!F:F,data!A:A,'monthly-forecast'!B173,data!B:B,'monthly-forecast'!C173)</f>
        <v>460</v>
      </c>
      <c r="F173" s="190">
        <f t="shared" si="54"/>
        <v>330</v>
      </c>
      <c r="G173" s="190">
        <f t="shared" si="55"/>
        <v>460</v>
      </c>
      <c r="H173" s="190">
        <v>172.5</v>
      </c>
      <c r="I173" s="190">
        <v>247.5</v>
      </c>
      <c r="J173" s="190">
        <v>302.5</v>
      </c>
      <c r="K173" s="170">
        <v>2.2303999999999999</v>
      </c>
      <c r="L173" s="218"/>
      <c r="M173" s="218"/>
      <c r="N173" s="218"/>
      <c r="O173" s="218"/>
      <c r="P173" s="218"/>
      <c r="Q173" s="218"/>
      <c r="R173" s="218"/>
      <c r="S173" s="201"/>
    </row>
    <row r="174" spans="1:19" x14ac:dyDescent="0.3">
      <c r="A174" s="169">
        <v>45051</v>
      </c>
      <c r="B174" s="159">
        <f t="shared" si="52"/>
        <v>2023</v>
      </c>
      <c r="C174" s="159">
        <f t="shared" si="53"/>
        <v>5</v>
      </c>
      <c r="D174" s="190">
        <f>AVERAGEIFS(data!G:G,data!A:A,'monthly-forecast'!B174,data!B:B,'monthly-forecast'!C174)</f>
        <v>330</v>
      </c>
      <c r="E174" s="190">
        <f>AVERAGEIFS(data!F:F,data!A:A,'monthly-forecast'!B174,data!B:B,'monthly-forecast'!C174)</f>
        <v>460</v>
      </c>
      <c r="F174" s="190">
        <f t="shared" si="54"/>
        <v>330</v>
      </c>
      <c r="G174" s="190">
        <f t="shared" si="55"/>
        <v>460</v>
      </c>
      <c r="H174" s="190">
        <v>182.5</v>
      </c>
      <c r="I174" s="190">
        <v>247.5</v>
      </c>
      <c r="J174" s="190">
        <v>302.5</v>
      </c>
      <c r="K174" s="170">
        <v>2.1879999999999997</v>
      </c>
      <c r="L174" s="219"/>
      <c r="M174" s="219"/>
      <c r="N174" s="219"/>
      <c r="O174" s="219"/>
      <c r="P174" s="219"/>
      <c r="Q174" s="219"/>
      <c r="R174" s="219"/>
      <c r="S174" s="202"/>
    </row>
    <row r="175" spans="1:19" x14ac:dyDescent="0.3">
      <c r="A175" s="169">
        <v>45044</v>
      </c>
      <c r="B175" s="159">
        <f t="shared" si="52"/>
        <v>2023</v>
      </c>
      <c r="C175" s="159">
        <f t="shared" si="53"/>
        <v>4</v>
      </c>
      <c r="D175" s="190">
        <f>AVERAGEIFS(data!G:G,data!A:A,'monthly-forecast'!B175,data!B:B,'monthly-forecast'!C175)</f>
        <v>550</v>
      </c>
      <c r="E175" s="190">
        <f>AVERAGEIFS(data!F:F,data!A:A,'monthly-forecast'!B175,data!B:B,'monthly-forecast'!C175)</f>
        <v>460</v>
      </c>
      <c r="F175" s="190">
        <f t="shared" si="54"/>
        <v>550</v>
      </c>
      <c r="G175" s="190">
        <f t="shared" si="55"/>
        <v>460</v>
      </c>
      <c r="H175" s="190">
        <v>192.5</v>
      </c>
      <c r="I175" s="190">
        <v>247.5</v>
      </c>
      <c r="J175" s="190">
        <v>302.5</v>
      </c>
      <c r="K175" s="170">
        <v>2.2923999999999998</v>
      </c>
      <c r="L175" s="217">
        <f>AVERAGE(D175:D178)</f>
        <v>550</v>
      </c>
      <c r="M175" s="217">
        <f>AVERAGE(E175:E178)</f>
        <v>460</v>
      </c>
      <c r="N175" s="217">
        <f>AVERAGE(D175:D178)</f>
        <v>550</v>
      </c>
      <c r="O175" s="217">
        <f>AVERAGE(E175:E178)</f>
        <v>460</v>
      </c>
      <c r="P175" s="217">
        <f t="shared" ref="P175:S175" si="61">AVERAGE(H175:H178)</f>
        <v>204.75</v>
      </c>
      <c r="Q175" s="217">
        <f t="shared" si="61"/>
        <v>270.625</v>
      </c>
      <c r="R175" s="217">
        <f t="shared" si="61"/>
        <v>286.25</v>
      </c>
      <c r="S175" s="200">
        <f t="shared" si="61"/>
        <v>2.1879499999999998</v>
      </c>
    </row>
    <row r="176" spans="1:19" x14ac:dyDescent="0.3">
      <c r="A176" s="169">
        <v>45037</v>
      </c>
      <c r="B176" s="159">
        <f t="shared" si="52"/>
        <v>2023</v>
      </c>
      <c r="C176" s="159">
        <f t="shared" si="53"/>
        <v>4</v>
      </c>
      <c r="D176" s="190">
        <f>AVERAGEIFS(data!G:G,data!A:A,'monthly-forecast'!B176,data!B:B,'monthly-forecast'!C176)</f>
        <v>550</v>
      </c>
      <c r="E176" s="190">
        <f>AVERAGEIFS(data!F:F,data!A:A,'monthly-forecast'!B176,data!B:B,'monthly-forecast'!C176)</f>
        <v>460</v>
      </c>
      <c r="F176" s="190">
        <f t="shared" si="54"/>
        <v>550</v>
      </c>
      <c r="G176" s="190">
        <f t="shared" si="55"/>
        <v>460</v>
      </c>
      <c r="H176" s="190">
        <v>202.5</v>
      </c>
      <c r="I176" s="190">
        <v>265</v>
      </c>
      <c r="J176" s="190">
        <v>302.5</v>
      </c>
      <c r="K176" s="170">
        <v>2.2690000000000001</v>
      </c>
      <c r="L176" s="218"/>
      <c r="M176" s="218"/>
      <c r="N176" s="218"/>
      <c r="O176" s="218"/>
      <c r="P176" s="218"/>
      <c r="Q176" s="218"/>
      <c r="R176" s="218"/>
      <c r="S176" s="201"/>
    </row>
    <row r="177" spans="1:19" x14ac:dyDescent="0.3">
      <c r="A177" s="169">
        <v>45030</v>
      </c>
      <c r="B177" s="159">
        <f t="shared" si="52"/>
        <v>2023</v>
      </c>
      <c r="C177" s="159">
        <f t="shared" si="53"/>
        <v>4</v>
      </c>
      <c r="D177" s="190">
        <f>AVERAGEIFS(data!G:G,data!A:A,'monthly-forecast'!B177,data!B:B,'monthly-forecast'!C177)</f>
        <v>550</v>
      </c>
      <c r="E177" s="190">
        <f>AVERAGEIFS(data!F:F,data!A:A,'monthly-forecast'!B177,data!B:B,'monthly-forecast'!C177)</f>
        <v>460</v>
      </c>
      <c r="F177" s="190">
        <f t="shared" si="54"/>
        <v>550</v>
      </c>
      <c r="G177" s="190">
        <f t="shared" si="55"/>
        <v>460</v>
      </c>
      <c r="H177" s="190">
        <v>212.5</v>
      </c>
      <c r="I177" s="190">
        <v>265</v>
      </c>
      <c r="J177" s="190">
        <v>280</v>
      </c>
      <c r="K177" s="170">
        <v>2.1144000000000003</v>
      </c>
      <c r="L177" s="218"/>
      <c r="M177" s="218"/>
      <c r="N177" s="218"/>
      <c r="O177" s="218"/>
      <c r="P177" s="218"/>
      <c r="Q177" s="218"/>
      <c r="R177" s="218"/>
      <c r="S177" s="201"/>
    </row>
    <row r="178" spans="1:19" x14ac:dyDescent="0.3">
      <c r="A178" s="169">
        <v>45023</v>
      </c>
      <c r="B178" s="159">
        <f t="shared" si="52"/>
        <v>2023</v>
      </c>
      <c r="C178" s="159">
        <f t="shared" si="53"/>
        <v>4</v>
      </c>
      <c r="D178" s="190">
        <f>AVERAGEIFS(data!G:G,data!A:A,'monthly-forecast'!B178,data!B:B,'monthly-forecast'!C178)</f>
        <v>550</v>
      </c>
      <c r="E178" s="190">
        <f>AVERAGEIFS(data!F:F,data!A:A,'monthly-forecast'!B178,data!B:B,'monthly-forecast'!C178)</f>
        <v>460</v>
      </c>
      <c r="F178" s="190">
        <f t="shared" si="54"/>
        <v>550</v>
      </c>
      <c r="G178" s="190">
        <f t="shared" si="55"/>
        <v>460</v>
      </c>
      <c r="H178" s="190">
        <v>211.5</v>
      </c>
      <c r="I178" s="190">
        <v>305</v>
      </c>
      <c r="J178" s="190">
        <v>260</v>
      </c>
      <c r="K178" s="170">
        <v>2.0759999999999996</v>
      </c>
      <c r="L178" s="219"/>
      <c r="M178" s="219"/>
      <c r="N178" s="219"/>
      <c r="O178" s="219"/>
      <c r="P178" s="219"/>
      <c r="Q178" s="219"/>
      <c r="R178" s="219"/>
      <c r="S178" s="202"/>
    </row>
    <row r="179" spans="1:19" x14ac:dyDescent="0.3">
      <c r="A179" s="169">
        <v>45016</v>
      </c>
      <c r="B179" s="159">
        <f t="shared" si="52"/>
        <v>2023</v>
      </c>
      <c r="C179" s="159">
        <f t="shared" si="53"/>
        <v>3</v>
      </c>
      <c r="D179" s="190">
        <f>AVERAGEIFS(data!G:G,data!A:A,'monthly-forecast'!B179,data!B:B,'monthly-forecast'!C179)</f>
        <v>550</v>
      </c>
      <c r="E179" s="190">
        <f>AVERAGEIFS(data!F:F,data!A:A,'monthly-forecast'!B179,data!B:B,'monthly-forecast'!C179)</f>
        <v>460</v>
      </c>
      <c r="F179" s="190">
        <f t="shared" si="54"/>
        <v>550</v>
      </c>
      <c r="G179" s="190">
        <f t="shared" si="55"/>
        <v>460</v>
      </c>
      <c r="H179" s="190">
        <v>233.5</v>
      </c>
      <c r="I179" s="190">
        <v>375</v>
      </c>
      <c r="J179" s="190">
        <v>270</v>
      </c>
      <c r="K179" s="170">
        <v>2.0857999999999999</v>
      </c>
      <c r="L179" s="217">
        <f>AVERAGE(D179:D183)</f>
        <v>550</v>
      </c>
      <c r="M179" s="217">
        <f>AVERAGE(E179:E183)</f>
        <v>460</v>
      </c>
      <c r="N179" s="217">
        <f>AVERAGE(D179:D183)</f>
        <v>550</v>
      </c>
      <c r="O179" s="217">
        <f>AVERAGE(E179:E183)</f>
        <v>460</v>
      </c>
      <c r="P179" s="217">
        <f t="shared" ref="P179:S179" si="62">AVERAGE(H179:H183)</f>
        <v>262.7</v>
      </c>
      <c r="Q179" s="217">
        <f t="shared" si="62"/>
        <v>428.5</v>
      </c>
      <c r="R179" s="217">
        <f t="shared" si="62"/>
        <v>295</v>
      </c>
      <c r="S179" s="200">
        <f t="shared" si="62"/>
        <v>2.4342799999999998</v>
      </c>
    </row>
    <row r="180" spans="1:19" x14ac:dyDescent="0.3">
      <c r="A180" s="169">
        <v>45009</v>
      </c>
      <c r="B180" s="159">
        <f t="shared" si="52"/>
        <v>2023</v>
      </c>
      <c r="C180" s="159">
        <f t="shared" si="53"/>
        <v>3</v>
      </c>
      <c r="D180" s="190">
        <f>AVERAGEIFS(data!G:G,data!A:A,'monthly-forecast'!B180,data!B:B,'monthly-forecast'!C180)</f>
        <v>550</v>
      </c>
      <c r="E180" s="190">
        <f>AVERAGEIFS(data!F:F,data!A:A,'monthly-forecast'!B180,data!B:B,'monthly-forecast'!C180)</f>
        <v>460</v>
      </c>
      <c r="F180" s="190">
        <f t="shared" si="54"/>
        <v>550</v>
      </c>
      <c r="G180" s="190">
        <f t="shared" si="55"/>
        <v>460</v>
      </c>
      <c r="H180" s="190">
        <v>280</v>
      </c>
      <c r="I180" s="190">
        <v>375</v>
      </c>
      <c r="J180" s="190">
        <v>267.5</v>
      </c>
      <c r="K180" s="170">
        <v>2.2223999999999995</v>
      </c>
      <c r="L180" s="218"/>
      <c r="M180" s="218"/>
      <c r="N180" s="218"/>
      <c r="O180" s="218"/>
      <c r="P180" s="218"/>
      <c r="Q180" s="218"/>
      <c r="R180" s="218"/>
      <c r="S180" s="201"/>
    </row>
    <row r="181" spans="1:19" x14ac:dyDescent="0.3">
      <c r="A181" s="169">
        <v>45002</v>
      </c>
      <c r="B181" s="159">
        <f t="shared" si="52"/>
        <v>2023</v>
      </c>
      <c r="C181" s="159">
        <f t="shared" si="53"/>
        <v>3</v>
      </c>
      <c r="D181" s="190">
        <f>AVERAGEIFS(data!G:G,data!A:A,'monthly-forecast'!B181,data!B:B,'monthly-forecast'!C181)</f>
        <v>550</v>
      </c>
      <c r="E181" s="190">
        <f>AVERAGEIFS(data!F:F,data!A:A,'monthly-forecast'!B181,data!B:B,'monthly-forecast'!C181)</f>
        <v>460</v>
      </c>
      <c r="F181" s="190">
        <f t="shared" si="54"/>
        <v>550</v>
      </c>
      <c r="G181" s="190">
        <f t="shared" si="55"/>
        <v>460</v>
      </c>
      <c r="H181" s="190">
        <v>265</v>
      </c>
      <c r="I181" s="190">
        <v>375</v>
      </c>
      <c r="J181" s="190">
        <v>315</v>
      </c>
      <c r="K181" s="170">
        <v>2.4940000000000002</v>
      </c>
      <c r="L181" s="218"/>
      <c r="M181" s="218"/>
      <c r="N181" s="218"/>
      <c r="O181" s="218"/>
      <c r="P181" s="218"/>
      <c r="Q181" s="218"/>
      <c r="R181" s="218"/>
      <c r="S181" s="201"/>
    </row>
    <row r="182" spans="1:19" x14ac:dyDescent="0.3">
      <c r="A182" s="169">
        <v>44995</v>
      </c>
      <c r="B182" s="159">
        <f t="shared" si="52"/>
        <v>2023</v>
      </c>
      <c r="C182" s="159">
        <f t="shared" si="53"/>
        <v>3</v>
      </c>
      <c r="D182" s="190">
        <f>AVERAGEIFS(data!G:G,data!A:A,'monthly-forecast'!B182,data!B:B,'monthly-forecast'!C182)</f>
        <v>550</v>
      </c>
      <c r="E182" s="190">
        <f>AVERAGEIFS(data!F:F,data!A:A,'monthly-forecast'!B182,data!B:B,'monthly-forecast'!C182)</f>
        <v>460</v>
      </c>
      <c r="F182" s="190">
        <f t="shared" si="54"/>
        <v>550</v>
      </c>
      <c r="G182" s="190">
        <f t="shared" si="55"/>
        <v>460</v>
      </c>
      <c r="H182" s="190">
        <v>265</v>
      </c>
      <c r="I182" s="190">
        <v>422.5</v>
      </c>
      <c r="J182" s="190">
        <v>315</v>
      </c>
      <c r="K182" s="170">
        <v>2.5566000000000004</v>
      </c>
      <c r="L182" s="218"/>
      <c r="M182" s="218"/>
      <c r="N182" s="218"/>
      <c r="O182" s="218"/>
      <c r="P182" s="218"/>
      <c r="Q182" s="218"/>
      <c r="R182" s="218"/>
      <c r="S182" s="201"/>
    </row>
    <row r="183" spans="1:19" x14ac:dyDescent="0.3">
      <c r="A183" s="169">
        <v>44988</v>
      </c>
      <c r="B183" s="159">
        <f t="shared" si="52"/>
        <v>2023</v>
      </c>
      <c r="C183" s="159">
        <f t="shared" si="53"/>
        <v>3</v>
      </c>
      <c r="D183" s="190">
        <f>AVERAGEIFS(data!G:G,data!A:A,'monthly-forecast'!B183,data!B:B,'monthly-forecast'!C183)</f>
        <v>550</v>
      </c>
      <c r="E183" s="190">
        <f>AVERAGEIFS(data!F:F,data!A:A,'monthly-forecast'!B183,data!B:B,'monthly-forecast'!C183)</f>
        <v>460</v>
      </c>
      <c r="F183" s="190">
        <f t="shared" si="54"/>
        <v>550</v>
      </c>
      <c r="G183" s="190">
        <f t="shared" si="55"/>
        <v>460</v>
      </c>
      <c r="H183" s="190">
        <v>270</v>
      </c>
      <c r="I183" s="190">
        <v>595</v>
      </c>
      <c r="J183" s="190">
        <v>307.5</v>
      </c>
      <c r="K183" s="170">
        <v>2.8126000000000002</v>
      </c>
      <c r="L183" s="219"/>
      <c r="M183" s="219"/>
      <c r="N183" s="219"/>
      <c r="O183" s="219"/>
      <c r="P183" s="219"/>
      <c r="Q183" s="219"/>
      <c r="R183" s="219"/>
      <c r="S183" s="202"/>
    </row>
    <row r="184" spans="1:19" x14ac:dyDescent="0.3">
      <c r="A184" s="169">
        <v>44981</v>
      </c>
      <c r="B184" s="159">
        <f t="shared" si="52"/>
        <v>2023</v>
      </c>
      <c r="C184" s="159">
        <f t="shared" si="53"/>
        <v>2</v>
      </c>
      <c r="D184" s="190">
        <f>AVERAGEIFS(data!G:G,data!A:A,'monthly-forecast'!B184,data!B:B,'monthly-forecast'!C184)</f>
        <v>540</v>
      </c>
      <c r="E184" s="190">
        <f>AVERAGEIFS(data!F:F,data!A:A,'monthly-forecast'!B184,data!B:B,'monthly-forecast'!C184)</f>
        <v>500</v>
      </c>
      <c r="F184" s="190">
        <f t="shared" si="54"/>
        <v>540</v>
      </c>
      <c r="G184" s="190">
        <f t="shared" si="55"/>
        <v>500</v>
      </c>
      <c r="H184" s="190">
        <v>270</v>
      </c>
      <c r="I184" s="190">
        <v>615</v>
      </c>
      <c r="J184" s="190">
        <v>290</v>
      </c>
      <c r="K184" s="170">
        <v>2.2530000000000001</v>
      </c>
      <c r="L184" s="217">
        <f>AVERAGE(D184:D187)</f>
        <v>540</v>
      </c>
      <c r="M184" s="217">
        <f>AVERAGE(E184:E187)</f>
        <v>500</v>
      </c>
      <c r="N184" s="217">
        <f>AVERAGE(D184:D187)</f>
        <v>540</v>
      </c>
      <c r="O184" s="217">
        <f>AVERAGE(E184:E187)</f>
        <v>500</v>
      </c>
      <c r="P184" s="217">
        <f t="shared" ref="P184:S184" si="63">AVERAGE(H184:H187)</f>
        <v>269.75</v>
      </c>
      <c r="Q184" s="217">
        <f t="shared" si="63"/>
        <v>668.75</v>
      </c>
      <c r="R184" s="217">
        <f t="shared" si="63"/>
        <v>325</v>
      </c>
      <c r="S184" s="200">
        <f t="shared" si="63"/>
        <v>2.4224000000000001</v>
      </c>
    </row>
    <row r="185" spans="1:19" x14ac:dyDescent="0.3">
      <c r="A185" s="169">
        <v>44974</v>
      </c>
      <c r="B185" s="159">
        <f t="shared" si="52"/>
        <v>2023</v>
      </c>
      <c r="C185" s="159">
        <f t="shared" si="53"/>
        <v>2</v>
      </c>
      <c r="D185" s="190">
        <f>AVERAGEIFS(data!G:G,data!A:A,'monthly-forecast'!B185,data!B:B,'monthly-forecast'!C185)</f>
        <v>540</v>
      </c>
      <c r="E185" s="190">
        <f>AVERAGEIFS(data!F:F,data!A:A,'monthly-forecast'!B185,data!B:B,'monthly-forecast'!C185)</f>
        <v>500</v>
      </c>
      <c r="F185" s="190">
        <f t="shared" si="54"/>
        <v>540</v>
      </c>
      <c r="G185" s="190">
        <f t="shared" si="55"/>
        <v>500</v>
      </c>
      <c r="H185" s="190">
        <v>229</v>
      </c>
      <c r="I185" s="190">
        <v>685</v>
      </c>
      <c r="J185" s="190">
        <v>320</v>
      </c>
      <c r="K185" s="170">
        <v>2.4213999999999998</v>
      </c>
      <c r="L185" s="218"/>
      <c r="M185" s="218"/>
      <c r="N185" s="218"/>
      <c r="O185" s="218"/>
      <c r="P185" s="218"/>
      <c r="Q185" s="218"/>
      <c r="R185" s="218"/>
      <c r="S185" s="201"/>
    </row>
    <row r="186" spans="1:19" x14ac:dyDescent="0.3">
      <c r="A186" s="169">
        <v>44967</v>
      </c>
      <c r="B186" s="159">
        <f t="shared" si="52"/>
        <v>2023</v>
      </c>
      <c r="C186" s="159">
        <f t="shared" si="53"/>
        <v>2</v>
      </c>
      <c r="D186" s="190">
        <f>AVERAGEIFS(data!G:G,data!A:A,'monthly-forecast'!B186,data!B:B,'monthly-forecast'!C186)</f>
        <v>540</v>
      </c>
      <c r="E186" s="190">
        <f>AVERAGEIFS(data!F:F,data!A:A,'monthly-forecast'!B186,data!B:B,'monthly-forecast'!C186)</f>
        <v>500</v>
      </c>
      <c r="F186" s="190">
        <f t="shared" si="54"/>
        <v>540</v>
      </c>
      <c r="G186" s="190">
        <f t="shared" si="55"/>
        <v>500</v>
      </c>
      <c r="H186" s="190">
        <v>290</v>
      </c>
      <c r="I186" s="190">
        <v>685</v>
      </c>
      <c r="J186" s="190">
        <v>342.5</v>
      </c>
      <c r="K186" s="170">
        <v>2.4762</v>
      </c>
      <c r="L186" s="218"/>
      <c r="M186" s="218"/>
      <c r="N186" s="218"/>
      <c r="O186" s="218"/>
      <c r="P186" s="218"/>
      <c r="Q186" s="218"/>
      <c r="R186" s="218"/>
      <c r="S186" s="201"/>
    </row>
    <row r="187" spans="1:19" x14ac:dyDescent="0.3">
      <c r="A187" s="169">
        <v>44960</v>
      </c>
      <c r="B187" s="159">
        <f t="shared" si="52"/>
        <v>2023</v>
      </c>
      <c r="C187" s="159">
        <f t="shared" si="53"/>
        <v>2</v>
      </c>
      <c r="D187" s="190">
        <f>AVERAGEIFS(data!G:G,data!A:A,'monthly-forecast'!B187,data!B:B,'monthly-forecast'!C187)</f>
        <v>540</v>
      </c>
      <c r="E187" s="190">
        <f>AVERAGEIFS(data!F:F,data!A:A,'monthly-forecast'!B187,data!B:B,'monthly-forecast'!C187)</f>
        <v>500</v>
      </c>
      <c r="F187" s="190">
        <f t="shared" si="54"/>
        <v>540</v>
      </c>
      <c r="G187" s="190">
        <f t="shared" si="55"/>
        <v>500</v>
      </c>
      <c r="H187" s="190">
        <v>290</v>
      </c>
      <c r="I187" s="190">
        <v>690</v>
      </c>
      <c r="J187" s="190">
        <v>347.5</v>
      </c>
      <c r="K187" s="170">
        <v>2.5390000000000001</v>
      </c>
      <c r="L187" s="219"/>
      <c r="M187" s="219"/>
      <c r="N187" s="219"/>
      <c r="O187" s="219"/>
      <c r="P187" s="219"/>
      <c r="Q187" s="219"/>
      <c r="R187" s="219"/>
      <c r="S187" s="202"/>
    </row>
    <row r="188" spans="1:19" x14ac:dyDescent="0.3">
      <c r="A188" s="169">
        <v>44953</v>
      </c>
      <c r="B188" s="159">
        <f t="shared" si="52"/>
        <v>2023</v>
      </c>
      <c r="C188" s="159">
        <f t="shared" si="53"/>
        <v>1</v>
      </c>
      <c r="D188" s="190">
        <f>AVERAGEIFS(data!G:G,data!A:A,'monthly-forecast'!B188,data!B:B,'monthly-forecast'!C188)</f>
        <v>550</v>
      </c>
      <c r="E188" s="190">
        <f>AVERAGEIFS(data!F:F,data!A:A,'monthly-forecast'!B188,data!B:B,'monthly-forecast'!C188)</f>
        <v>500</v>
      </c>
      <c r="F188" s="190">
        <f t="shared" si="54"/>
        <v>550</v>
      </c>
      <c r="G188" s="190">
        <f t="shared" si="55"/>
        <v>500</v>
      </c>
      <c r="H188" s="190">
        <v>290</v>
      </c>
      <c r="I188" s="190">
        <v>700</v>
      </c>
      <c r="J188" s="190">
        <v>382.5</v>
      </c>
      <c r="K188" s="170">
        <v>3.165</v>
      </c>
      <c r="L188" s="217">
        <f>AVERAGE(D188:D191)</f>
        <v>550</v>
      </c>
      <c r="M188" s="217">
        <f>AVERAGE(E188:E191)</f>
        <v>500</v>
      </c>
      <c r="N188" s="217">
        <f>AVERAGE(D188:D191)</f>
        <v>550</v>
      </c>
      <c r="O188" s="217">
        <f>AVERAGE(E188:E191)</f>
        <v>500</v>
      </c>
      <c r="P188" s="217">
        <f t="shared" ref="P188:S188" si="64">AVERAGE(H188:H191)</f>
        <v>353.75</v>
      </c>
      <c r="Q188" s="217">
        <f t="shared" si="64"/>
        <v>821.25</v>
      </c>
      <c r="R188" s="217">
        <f t="shared" si="64"/>
        <v>418.75</v>
      </c>
      <c r="S188" s="200">
        <f t="shared" si="64"/>
        <v>3.5164499999999999</v>
      </c>
    </row>
    <row r="189" spans="1:19" x14ac:dyDescent="0.3">
      <c r="A189" s="169">
        <v>44946</v>
      </c>
      <c r="B189" s="159">
        <f t="shared" si="52"/>
        <v>2023</v>
      </c>
      <c r="C189" s="159">
        <f t="shared" si="53"/>
        <v>1</v>
      </c>
      <c r="D189" s="190">
        <f>AVERAGEIFS(data!G:G,data!A:A,'monthly-forecast'!B189,data!B:B,'monthly-forecast'!C189)</f>
        <v>550</v>
      </c>
      <c r="E189" s="190">
        <f>AVERAGEIFS(data!F:F,data!A:A,'monthly-forecast'!B189,data!B:B,'monthly-forecast'!C189)</f>
        <v>500</v>
      </c>
      <c r="F189" s="190">
        <f t="shared" si="54"/>
        <v>550</v>
      </c>
      <c r="G189" s="190">
        <f t="shared" si="55"/>
        <v>500</v>
      </c>
      <c r="H189" s="190">
        <v>375</v>
      </c>
      <c r="I189" s="190">
        <v>865</v>
      </c>
      <c r="J189" s="190">
        <v>420</v>
      </c>
      <c r="K189" s="170">
        <v>3.3365</v>
      </c>
      <c r="L189" s="218"/>
      <c r="M189" s="218"/>
      <c r="N189" s="218"/>
      <c r="O189" s="218"/>
      <c r="P189" s="218"/>
      <c r="Q189" s="218"/>
      <c r="R189" s="218"/>
      <c r="S189" s="201"/>
    </row>
    <row r="190" spans="1:19" x14ac:dyDescent="0.3">
      <c r="A190" s="169">
        <v>44939</v>
      </c>
      <c r="B190" s="159">
        <f t="shared" si="52"/>
        <v>2023</v>
      </c>
      <c r="C190" s="159">
        <f t="shared" si="53"/>
        <v>1</v>
      </c>
      <c r="D190" s="190">
        <f>AVERAGEIFS(data!G:G,data!A:A,'monthly-forecast'!B190,data!B:B,'monthly-forecast'!C190)</f>
        <v>550</v>
      </c>
      <c r="E190" s="190">
        <f>AVERAGEIFS(data!F:F,data!A:A,'monthly-forecast'!B190,data!B:B,'monthly-forecast'!C190)</f>
        <v>500</v>
      </c>
      <c r="F190" s="190">
        <f t="shared" si="54"/>
        <v>550</v>
      </c>
      <c r="G190" s="190">
        <f t="shared" si="55"/>
        <v>500</v>
      </c>
      <c r="H190" s="190">
        <v>375</v>
      </c>
      <c r="I190" s="190">
        <v>865</v>
      </c>
      <c r="J190" s="190">
        <v>387.5</v>
      </c>
      <c r="K190" s="170">
        <v>3.6667999999999998</v>
      </c>
      <c r="L190" s="218"/>
      <c r="M190" s="218"/>
      <c r="N190" s="218"/>
      <c r="O190" s="218"/>
      <c r="P190" s="218"/>
      <c r="Q190" s="218"/>
      <c r="R190" s="218"/>
      <c r="S190" s="201"/>
    </row>
    <row r="191" spans="1:19" x14ac:dyDescent="0.3">
      <c r="A191" s="169">
        <v>44932</v>
      </c>
      <c r="B191" s="159">
        <f t="shared" si="52"/>
        <v>2023</v>
      </c>
      <c r="C191" s="159">
        <f t="shared" si="53"/>
        <v>1</v>
      </c>
      <c r="D191" s="190">
        <f>AVERAGEIFS(data!G:G,data!A:A,'monthly-forecast'!B191,data!B:B,'monthly-forecast'!C191)</f>
        <v>550</v>
      </c>
      <c r="E191" s="190">
        <f>AVERAGEIFS(data!F:F,data!A:A,'monthly-forecast'!B191,data!B:B,'monthly-forecast'!C191)</f>
        <v>500</v>
      </c>
      <c r="F191" s="190">
        <f t="shared" si="54"/>
        <v>550</v>
      </c>
      <c r="G191" s="190">
        <f t="shared" si="55"/>
        <v>500</v>
      </c>
      <c r="H191" s="190">
        <v>375</v>
      </c>
      <c r="I191" s="190">
        <v>855</v>
      </c>
      <c r="J191" s="190">
        <v>485</v>
      </c>
      <c r="K191" s="170">
        <v>3.8975</v>
      </c>
      <c r="L191" s="219"/>
      <c r="M191" s="219"/>
      <c r="N191" s="219"/>
      <c r="O191" s="219"/>
      <c r="P191" s="219"/>
      <c r="Q191" s="219"/>
      <c r="R191" s="219"/>
      <c r="S191" s="202"/>
    </row>
    <row r="192" spans="1:19" x14ac:dyDescent="0.3">
      <c r="A192" s="169">
        <v>44925</v>
      </c>
      <c r="B192" s="159">
        <f t="shared" si="52"/>
        <v>2022</v>
      </c>
      <c r="C192" s="159">
        <f t="shared" si="53"/>
        <v>12</v>
      </c>
      <c r="D192" s="190">
        <f>AVERAGEIFS(data!G:G,data!A:A,'monthly-forecast'!B192,data!B:B,'monthly-forecast'!C192)</f>
        <v>540</v>
      </c>
      <c r="E192" s="190">
        <f>AVERAGEIFS(data!F:F,data!A:A,'monthly-forecast'!B192,data!B:B,'monthly-forecast'!C192)</f>
        <v>500</v>
      </c>
      <c r="F192" s="190">
        <f t="shared" si="54"/>
        <v>540</v>
      </c>
      <c r="G192" s="190">
        <f t="shared" si="55"/>
        <v>500</v>
      </c>
      <c r="H192" s="190">
        <v>375</v>
      </c>
      <c r="I192" s="190">
        <v>855</v>
      </c>
      <c r="J192" s="190">
        <v>485</v>
      </c>
      <c r="K192" s="170">
        <v>4.7562499999999996</v>
      </c>
      <c r="L192" s="217">
        <f>AVERAGE(D192:D196)</f>
        <v>540</v>
      </c>
      <c r="M192" s="217">
        <f>AVERAGE(E192:E196)</f>
        <v>500</v>
      </c>
      <c r="N192" s="217">
        <f>AVERAGE(D192:D196)</f>
        <v>540</v>
      </c>
      <c r="O192" s="217">
        <f>AVERAGE(E192:E196)</f>
        <v>500</v>
      </c>
      <c r="P192" s="217">
        <f t="shared" ref="P192:S192" si="65">AVERAGE(H192:H196)</f>
        <v>388.6</v>
      </c>
      <c r="Q192" s="217">
        <f t="shared" si="65"/>
        <v>894.5</v>
      </c>
      <c r="R192" s="217">
        <f t="shared" si="65"/>
        <v>491.5</v>
      </c>
      <c r="S192" s="200">
        <f t="shared" si="65"/>
        <v>5.8704900000000002</v>
      </c>
    </row>
    <row r="193" spans="1:19" x14ac:dyDescent="0.3">
      <c r="A193" s="169">
        <v>44918</v>
      </c>
      <c r="B193" s="159">
        <f t="shared" si="52"/>
        <v>2022</v>
      </c>
      <c r="C193" s="159">
        <f t="shared" si="53"/>
        <v>12</v>
      </c>
      <c r="D193" s="190">
        <f>AVERAGEIFS(data!G:G,data!A:A,'monthly-forecast'!B193,data!B:B,'monthly-forecast'!C193)</f>
        <v>540</v>
      </c>
      <c r="E193" s="190">
        <f>AVERAGEIFS(data!F:F,data!A:A,'monthly-forecast'!B193,data!B:B,'monthly-forecast'!C193)</f>
        <v>500</v>
      </c>
      <c r="F193" s="190">
        <f t="shared" si="54"/>
        <v>540</v>
      </c>
      <c r="G193" s="190">
        <f t="shared" si="55"/>
        <v>500</v>
      </c>
      <c r="H193" s="190">
        <v>357</v>
      </c>
      <c r="I193" s="190">
        <v>865</v>
      </c>
      <c r="J193" s="190">
        <v>485</v>
      </c>
      <c r="K193" s="170">
        <v>5.3174000000000001</v>
      </c>
      <c r="L193" s="218"/>
      <c r="M193" s="218"/>
      <c r="N193" s="218"/>
      <c r="O193" s="218"/>
      <c r="P193" s="218"/>
      <c r="Q193" s="218"/>
      <c r="R193" s="218"/>
      <c r="S193" s="201"/>
    </row>
    <row r="194" spans="1:19" x14ac:dyDescent="0.3">
      <c r="A194" s="169">
        <v>44911</v>
      </c>
      <c r="B194" s="159">
        <f t="shared" si="52"/>
        <v>2022</v>
      </c>
      <c r="C194" s="159">
        <f t="shared" si="53"/>
        <v>12</v>
      </c>
      <c r="D194" s="190">
        <f>AVERAGEIFS(data!G:G,data!A:A,'monthly-forecast'!B194,data!B:B,'monthly-forecast'!C194)</f>
        <v>540</v>
      </c>
      <c r="E194" s="190">
        <f>AVERAGEIFS(data!F:F,data!A:A,'monthly-forecast'!B194,data!B:B,'monthly-forecast'!C194)</f>
        <v>500</v>
      </c>
      <c r="F194" s="190">
        <f t="shared" si="54"/>
        <v>540</v>
      </c>
      <c r="G194" s="190">
        <f t="shared" si="55"/>
        <v>500</v>
      </c>
      <c r="H194" s="190">
        <v>409.5</v>
      </c>
      <c r="I194" s="190">
        <v>865</v>
      </c>
      <c r="J194" s="190">
        <v>485</v>
      </c>
      <c r="K194" s="170">
        <v>6.7043999999999997</v>
      </c>
      <c r="L194" s="218"/>
      <c r="M194" s="218"/>
      <c r="N194" s="218"/>
      <c r="O194" s="218"/>
      <c r="P194" s="218"/>
      <c r="Q194" s="218"/>
      <c r="R194" s="218"/>
      <c r="S194" s="201"/>
    </row>
    <row r="195" spans="1:19" x14ac:dyDescent="0.3">
      <c r="A195" s="169">
        <v>44904</v>
      </c>
      <c r="B195" s="159">
        <f t="shared" si="52"/>
        <v>2022</v>
      </c>
      <c r="C195" s="159">
        <f t="shared" si="53"/>
        <v>12</v>
      </c>
      <c r="D195" s="190">
        <f>AVERAGEIFS(data!G:G,data!A:A,'monthly-forecast'!B195,data!B:B,'monthly-forecast'!C195)</f>
        <v>540</v>
      </c>
      <c r="E195" s="190">
        <f>AVERAGEIFS(data!F:F,data!A:A,'monthly-forecast'!B195,data!B:B,'monthly-forecast'!C195)</f>
        <v>500</v>
      </c>
      <c r="F195" s="190">
        <f t="shared" si="54"/>
        <v>540</v>
      </c>
      <c r="G195" s="190">
        <f t="shared" si="55"/>
        <v>500</v>
      </c>
      <c r="H195" s="190">
        <v>409.5</v>
      </c>
      <c r="I195" s="190">
        <v>865</v>
      </c>
      <c r="J195" s="190">
        <v>485</v>
      </c>
      <c r="K195" s="170">
        <v>5.7951999999999995</v>
      </c>
      <c r="L195" s="218"/>
      <c r="M195" s="218"/>
      <c r="N195" s="218"/>
      <c r="O195" s="218"/>
      <c r="P195" s="218"/>
      <c r="Q195" s="218"/>
      <c r="R195" s="218"/>
      <c r="S195" s="201"/>
    </row>
    <row r="196" spans="1:19" x14ac:dyDescent="0.3">
      <c r="A196" s="169">
        <v>44897</v>
      </c>
      <c r="B196" s="159">
        <f t="shared" si="52"/>
        <v>2022</v>
      </c>
      <c r="C196" s="159">
        <f t="shared" si="53"/>
        <v>12</v>
      </c>
      <c r="D196" s="190">
        <f>AVERAGEIFS(data!G:G,data!A:A,'monthly-forecast'!B196,data!B:B,'monthly-forecast'!C196)</f>
        <v>540</v>
      </c>
      <c r="E196" s="190">
        <f>AVERAGEIFS(data!F:F,data!A:A,'monthly-forecast'!B196,data!B:B,'monthly-forecast'!C196)</f>
        <v>500</v>
      </c>
      <c r="F196" s="190">
        <f t="shared" si="54"/>
        <v>540</v>
      </c>
      <c r="G196" s="190">
        <f t="shared" si="55"/>
        <v>500</v>
      </c>
      <c r="H196" s="190">
        <v>392</v>
      </c>
      <c r="I196" s="190">
        <v>1022.5</v>
      </c>
      <c r="J196" s="190">
        <v>517.5</v>
      </c>
      <c r="K196" s="170">
        <v>6.7792000000000003</v>
      </c>
      <c r="L196" s="219"/>
      <c r="M196" s="219"/>
      <c r="N196" s="219"/>
      <c r="O196" s="219"/>
      <c r="P196" s="219"/>
      <c r="Q196" s="219"/>
      <c r="R196" s="219"/>
      <c r="S196" s="202"/>
    </row>
    <row r="197" spans="1:19" x14ac:dyDescent="0.3">
      <c r="A197" s="169">
        <v>44890</v>
      </c>
      <c r="B197" s="159">
        <f t="shared" si="52"/>
        <v>2022</v>
      </c>
      <c r="C197" s="159">
        <f t="shared" si="53"/>
        <v>11</v>
      </c>
      <c r="D197" s="190">
        <f>AVERAGEIFS(data!G:G,data!A:A,'monthly-forecast'!B197,data!B:B,'monthly-forecast'!C197)</f>
        <v>550</v>
      </c>
      <c r="E197" s="190">
        <f>AVERAGEIFS(data!F:F,data!A:A,'monthly-forecast'!B197,data!B:B,'monthly-forecast'!C197)</f>
        <v>500</v>
      </c>
      <c r="F197" s="190">
        <f t="shared" si="54"/>
        <v>550</v>
      </c>
      <c r="G197" s="190">
        <f t="shared" si="55"/>
        <v>500</v>
      </c>
      <c r="H197" s="190">
        <v>392</v>
      </c>
      <c r="I197" s="190">
        <v>1022.5</v>
      </c>
      <c r="J197" s="190">
        <v>517.5</v>
      </c>
      <c r="K197" s="170">
        <v>6.9717500000000001</v>
      </c>
      <c r="L197" s="217">
        <f>AVERAGE(D197:D200)</f>
        <v>550</v>
      </c>
      <c r="M197" s="217">
        <f>AVERAGE(E197:E200)</f>
        <v>500</v>
      </c>
      <c r="N197" s="217">
        <f>AVERAGE(D197:D200)</f>
        <v>550</v>
      </c>
      <c r="O197" s="217">
        <f>AVERAGE(E197:E200)</f>
        <v>500</v>
      </c>
      <c r="P197" s="217">
        <f t="shared" ref="P197:S197" si="66">AVERAGE(H197:H200)</f>
        <v>390.75</v>
      </c>
      <c r="Q197" s="217">
        <f t="shared" si="66"/>
        <v>1029.375</v>
      </c>
      <c r="R197" s="217">
        <f t="shared" si="66"/>
        <v>516.25</v>
      </c>
      <c r="S197" s="200">
        <f t="shared" si="66"/>
        <v>6.3737375000000007</v>
      </c>
    </row>
    <row r="198" spans="1:19" x14ac:dyDescent="0.3">
      <c r="A198" s="169">
        <v>44883</v>
      </c>
      <c r="B198" s="159">
        <f t="shared" si="52"/>
        <v>2022</v>
      </c>
      <c r="C198" s="159">
        <f t="shared" si="53"/>
        <v>11</v>
      </c>
      <c r="D198" s="190">
        <f>AVERAGEIFS(data!G:G,data!A:A,'monthly-forecast'!B198,data!B:B,'monthly-forecast'!C198)</f>
        <v>550</v>
      </c>
      <c r="E198" s="190">
        <f>AVERAGEIFS(data!F:F,data!A:A,'monthly-forecast'!B198,data!B:B,'monthly-forecast'!C198)</f>
        <v>500</v>
      </c>
      <c r="F198" s="190">
        <f t="shared" si="54"/>
        <v>550</v>
      </c>
      <c r="G198" s="190">
        <f t="shared" si="55"/>
        <v>500</v>
      </c>
      <c r="H198" s="190">
        <v>392</v>
      </c>
      <c r="I198" s="190">
        <v>1022.5</v>
      </c>
      <c r="J198" s="190">
        <v>517.5</v>
      </c>
      <c r="K198" s="170">
        <v>6.1677999999999997</v>
      </c>
      <c r="L198" s="218"/>
      <c r="M198" s="218"/>
      <c r="N198" s="218"/>
      <c r="O198" s="218"/>
      <c r="P198" s="218"/>
      <c r="Q198" s="218"/>
      <c r="R198" s="218"/>
      <c r="S198" s="201"/>
    </row>
    <row r="199" spans="1:19" x14ac:dyDescent="0.3">
      <c r="A199" s="169">
        <v>44876</v>
      </c>
      <c r="B199" s="159">
        <f t="shared" si="52"/>
        <v>2022</v>
      </c>
      <c r="C199" s="159">
        <f t="shared" si="53"/>
        <v>11</v>
      </c>
      <c r="D199" s="190">
        <f>AVERAGEIFS(data!G:G,data!A:A,'monthly-forecast'!B199,data!B:B,'monthly-forecast'!C199)</f>
        <v>550</v>
      </c>
      <c r="E199" s="190">
        <f>AVERAGEIFS(data!F:F,data!A:A,'monthly-forecast'!B199,data!B:B,'monthly-forecast'!C199)</f>
        <v>500</v>
      </c>
      <c r="F199" s="190">
        <f t="shared" si="54"/>
        <v>550</v>
      </c>
      <c r="G199" s="190">
        <f t="shared" si="55"/>
        <v>500</v>
      </c>
      <c r="H199" s="190">
        <v>392</v>
      </c>
      <c r="I199" s="190">
        <v>1022.5</v>
      </c>
      <c r="J199" s="190">
        <v>517.5</v>
      </c>
      <c r="K199" s="170">
        <v>6.2129999999999992</v>
      </c>
      <c r="L199" s="218"/>
      <c r="M199" s="218"/>
      <c r="N199" s="218"/>
      <c r="O199" s="218"/>
      <c r="P199" s="218"/>
      <c r="Q199" s="218"/>
      <c r="R199" s="218"/>
      <c r="S199" s="201"/>
    </row>
    <row r="200" spans="1:19" x14ac:dyDescent="0.3">
      <c r="A200" s="169">
        <v>44869</v>
      </c>
      <c r="B200" s="159">
        <f t="shared" si="52"/>
        <v>2022</v>
      </c>
      <c r="C200" s="159">
        <f t="shared" si="53"/>
        <v>11</v>
      </c>
      <c r="D200" s="190">
        <f>AVERAGEIFS(data!G:G,data!A:A,'monthly-forecast'!B200,data!B:B,'monthly-forecast'!C200)</f>
        <v>550</v>
      </c>
      <c r="E200" s="190">
        <f>AVERAGEIFS(data!F:F,data!A:A,'monthly-forecast'!B200,data!B:B,'monthly-forecast'!C200)</f>
        <v>500</v>
      </c>
      <c r="F200" s="190">
        <f t="shared" si="54"/>
        <v>550</v>
      </c>
      <c r="G200" s="190">
        <f t="shared" si="55"/>
        <v>500</v>
      </c>
      <c r="H200" s="190">
        <v>387</v>
      </c>
      <c r="I200" s="190">
        <v>1050</v>
      </c>
      <c r="J200" s="190">
        <v>512.5</v>
      </c>
      <c r="K200" s="170">
        <v>6.1424000000000003</v>
      </c>
      <c r="L200" s="219"/>
      <c r="M200" s="219"/>
      <c r="N200" s="219"/>
      <c r="O200" s="219"/>
      <c r="P200" s="219"/>
      <c r="Q200" s="219"/>
      <c r="R200" s="219"/>
      <c r="S200" s="202"/>
    </row>
    <row r="201" spans="1:19" x14ac:dyDescent="0.3">
      <c r="A201" s="169">
        <v>44862</v>
      </c>
      <c r="B201" s="159">
        <f t="shared" si="52"/>
        <v>2022</v>
      </c>
      <c r="C201" s="159">
        <f t="shared" si="53"/>
        <v>10</v>
      </c>
      <c r="D201" s="190">
        <f>AVERAGEIFS(data!G:G,data!A:A,'monthly-forecast'!B201,data!B:B,'monthly-forecast'!C201)</f>
        <v>530</v>
      </c>
      <c r="E201" s="190">
        <f>AVERAGEIFS(data!F:F,data!A:A,'monthly-forecast'!B201,data!B:B,'monthly-forecast'!C201)</f>
        <v>500</v>
      </c>
      <c r="F201" s="190">
        <f t="shared" si="54"/>
        <v>530</v>
      </c>
      <c r="G201" s="190">
        <f t="shared" si="55"/>
        <v>500</v>
      </c>
      <c r="H201" s="190">
        <v>387</v>
      </c>
      <c r="I201" s="190">
        <v>1050</v>
      </c>
      <c r="J201" s="190">
        <v>507.5</v>
      </c>
      <c r="K201" s="170">
        <v>5.4575999999999993</v>
      </c>
      <c r="L201" s="217">
        <f>AVERAGE(D201:D204)</f>
        <v>530</v>
      </c>
      <c r="M201" s="217">
        <f>AVERAGE(E201:E204)</f>
        <v>500</v>
      </c>
      <c r="N201" s="217">
        <f>AVERAGE(D201:D204)</f>
        <v>530</v>
      </c>
      <c r="O201" s="217">
        <f>AVERAGE(E201:E204)</f>
        <v>500</v>
      </c>
      <c r="P201" s="217">
        <f t="shared" ref="P201:S201" si="67">AVERAGE(H201:H204)</f>
        <v>380.125</v>
      </c>
      <c r="Q201" s="217">
        <f t="shared" si="67"/>
        <v>1050</v>
      </c>
      <c r="R201" s="217">
        <f t="shared" si="67"/>
        <v>531.875</v>
      </c>
      <c r="S201" s="200">
        <f t="shared" si="67"/>
        <v>6.0713999999999997</v>
      </c>
    </row>
    <row r="202" spans="1:19" x14ac:dyDescent="0.3">
      <c r="A202" s="169">
        <v>44855</v>
      </c>
      <c r="B202" s="159">
        <f t="shared" si="52"/>
        <v>2022</v>
      </c>
      <c r="C202" s="159">
        <f t="shared" si="53"/>
        <v>10</v>
      </c>
      <c r="D202" s="190">
        <f>AVERAGEIFS(data!G:G,data!A:A,'monthly-forecast'!B202,data!B:B,'monthly-forecast'!C202)</f>
        <v>530</v>
      </c>
      <c r="E202" s="190">
        <f>AVERAGEIFS(data!F:F,data!A:A,'monthly-forecast'!B202,data!B:B,'monthly-forecast'!C202)</f>
        <v>500</v>
      </c>
      <c r="F202" s="190">
        <f t="shared" si="54"/>
        <v>530</v>
      </c>
      <c r="G202" s="190">
        <f t="shared" si="55"/>
        <v>500</v>
      </c>
      <c r="H202" s="190">
        <v>387</v>
      </c>
      <c r="I202" s="190">
        <v>1050</v>
      </c>
      <c r="J202" s="190">
        <v>537.5</v>
      </c>
      <c r="K202" s="170">
        <v>5.5045999999999999</v>
      </c>
      <c r="L202" s="218"/>
      <c r="M202" s="218"/>
      <c r="N202" s="218"/>
      <c r="O202" s="218"/>
      <c r="P202" s="218"/>
      <c r="Q202" s="218"/>
      <c r="R202" s="218"/>
      <c r="S202" s="201"/>
    </row>
    <row r="203" spans="1:19" x14ac:dyDescent="0.3">
      <c r="A203" s="169">
        <v>44848</v>
      </c>
      <c r="B203" s="159">
        <f t="shared" si="52"/>
        <v>2022</v>
      </c>
      <c r="C203" s="159">
        <f t="shared" si="53"/>
        <v>10</v>
      </c>
      <c r="D203" s="190">
        <f>AVERAGEIFS(data!G:G,data!A:A,'monthly-forecast'!B203,data!B:B,'monthly-forecast'!C203)</f>
        <v>530</v>
      </c>
      <c r="E203" s="190">
        <f>AVERAGEIFS(data!F:F,data!A:A,'monthly-forecast'!B203,data!B:B,'monthly-forecast'!C203)</f>
        <v>500</v>
      </c>
      <c r="F203" s="190">
        <f t="shared" si="54"/>
        <v>530</v>
      </c>
      <c r="G203" s="190">
        <f t="shared" si="55"/>
        <v>500</v>
      </c>
      <c r="H203" s="190">
        <v>387</v>
      </c>
      <c r="I203" s="190">
        <v>1050</v>
      </c>
      <c r="J203" s="190">
        <v>540</v>
      </c>
      <c r="K203" s="170">
        <v>6.5319999999999991</v>
      </c>
      <c r="L203" s="218"/>
      <c r="M203" s="218"/>
      <c r="N203" s="218"/>
      <c r="O203" s="218"/>
      <c r="P203" s="218"/>
      <c r="Q203" s="218"/>
      <c r="R203" s="218"/>
      <c r="S203" s="201"/>
    </row>
    <row r="204" spans="1:19" x14ac:dyDescent="0.3">
      <c r="A204" s="169">
        <v>44841</v>
      </c>
      <c r="B204" s="159">
        <f t="shared" si="52"/>
        <v>2022</v>
      </c>
      <c r="C204" s="159">
        <f t="shared" si="53"/>
        <v>10</v>
      </c>
      <c r="D204" s="190">
        <f>AVERAGEIFS(data!G:G,data!A:A,'monthly-forecast'!B204,data!B:B,'monthly-forecast'!C204)</f>
        <v>530</v>
      </c>
      <c r="E204" s="190">
        <f>AVERAGEIFS(data!F:F,data!A:A,'monthly-forecast'!B204,data!B:B,'monthly-forecast'!C204)</f>
        <v>500</v>
      </c>
      <c r="F204" s="190">
        <f t="shared" si="54"/>
        <v>530</v>
      </c>
      <c r="G204" s="190">
        <f t="shared" si="55"/>
        <v>500</v>
      </c>
      <c r="H204" s="190">
        <v>359.5</v>
      </c>
      <c r="I204" s="190">
        <v>1050</v>
      </c>
      <c r="J204" s="190">
        <v>542.5</v>
      </c>
      <c r="K204" s="170">
        <v>6.7914000000000003</v>
      </c>
      <c r="L204" s="219"/>
      <c r="M204" s="219"/>
      <c r="N204" s="219"/>
      <c r="O204" s="219"/>
      <c r="P204" s="219"/>
      <c r="Q204" s="219"/>
      <c r="R204" s="219"/>
      <c r="S204" s="202"/>
    </row>
    <row r="205" spans="1:19" x14ac:dyDescent="0.3">
      <c r="A205" s="169">
        <v>44834</v>
      </c>
      <c r="B205" s="159">
        <f t="shared" si="52"/>
        <v>2022</v>
      </c>
      <c r="C205" s="159">
        <f t="shared" si="53"/>
        <v>9</v>
      </c>
      <c r="D205" s="190">
        <f>AVERAGEIFS(data!G:G,data!A:A,'monthly-forecast'!B205,data!B:B,'monthly-forecast'!C205)</f>
        <v>530</v>
      </c>
      <c r="E205" s="190">
        <f>AVERAGEIFS(data!F:F,data!A:A,'monthly-forecast'!B205,data!B:B,'monthly-forecast'!C205)</f>
        <v>500</v>
      </c>
      <c r="F205" s="190">
        <f t="shared" si="54"/>
        <v>530</v>
      </c>
      <c r="G205" s="190">
        <f t="shared" si="55"/>
        <v>500</v>
      </c>
      <c r="H205" s="190">
        <v>359.5</v>
      </c>
      <c r="I205" s="190">
        <v>1050</v>
      </c>
      <c r="J205" s="190">
        <v>565</v>
      </c>
      <c r="K205" s="170">
        <v>6.8124000000000011</v>
      </c>
      <c r="L205" s="217">
        <f>AVERAGE(D205:D209)</f>
        <v>530</v>
      </c>
      <c r="M205" s="217">
        <f>AVERAGE(E205:E209)</f>
        <v>500</v>
      </c>
      <c r="N205" s="217">
        <f>AVERAGE(D205:D209)</f>
        <v>530</v>
      </c>
      <c r="O205" s="217">
        <f>AVERAGE(E205:E209)</f>
        <v>500</v>
      </c>
      <c r="P205" s="217">
        <f t="shared" ref="P205:S205" si="68">AVERAGE(H205:H209)</f>
        <v>323.10000000000002</v>
      </c>
      <c r="Q205" s="217">
        <f t="shared" si="68"/>
        <v>1082.5</v>
      </c>
      <c r="R205" s="217">
        <f t="shared" si="68"/>
        <v>576.6</v>
      </c>
      <c r="S205" s="200">
        <f t="shared" si="68"/>
        <v>7.9361800000000002</v>
      </c>
    </row>
    <row r="206" spans="1:19" x14ac:dyDescent="0.3">
      <c r="A206" s="169">
        <v>44827</v>
      </c>
      <c r="B206" s="159">
        <f t="shared" si="52"/>
        <v>2022</v>
      </c>
      <c r="C206" s="159">
        <f t="shared" si="53"/>
        <v>9</v>
      </c>
      <c r="D206" s="190">
        <f>AVERAGEIFS(data!G:G,data!A:A,'monthly-forecast'!B206,data!B:B,'monthly-forecast'!C206)</f>
        <v>530</v>
      </c>
      <c r="E206" s="190">
        <f>AVERAGEIFS(data!F:F,data!A:A,'monthly-forecast'!B206,data!B:B,'monthly-forecast'!C206)</f>
        <v>500</v>
      </c>
      <c r="F206" s="190">
        <f t="shared" si="54"/>
        <v>530</v>
      </c>
      <c r="G206" s="190">
        <f t="shared" si="55"/>
        <v>500</v>
      </c>
      <c r="H206" s="190">
        <v>300</v>
      </c>
      <c r="I206" s="190">
        <v>1100</v>
      </c>
      <c r="J206" s="190">
        <v>615</v>
      </c>
      <c r="K206" s="170">
        <v>7.4329999999999998</v>
      </c>
      <c r="L206" s="218"/>
      <c r="M206" s="218"/>
      <c r="N206" s="218"/>
      <c r="O206" s="218"/>
      <c r="P206" s="218"/>
      <c r="Q206" s="218"/>
      <c r="R206" s="218"/>
      <c r="S206" s="201"/>
    </row>
    <row r="207" spans="1:19" x14ac:dyDescent="0.3">
      <c r="A207" s="169">
        <v>44820</v>
      </c>
      <c r="B207" s="159">
        <f t="shared" si="52"/>
        <v>2022</v>
      </c>
      <c r="C207" s="159">
        <f t="shared" si="53"/>
        <v>9</v>
      </c>
      <c r="D207" s="190">
        <f>AVERAGEIFS(data!G:G,data!A:A,'monthly-forecast'!B207,data!B:B,'monthly-forecast'!C207)</f>
        <v>530</v>
      </c>
      <c r="E207" s="190">
        <f>AVERAGEIFS(data!F:F,data!A:A,'monthly-forecast'!B207,data!B:B,'monthly-forecast'!C207)</f>
        <v>500</v>
      </c>
      <c r="F207" s="190">
        <f t="shared" si="54"/>
        <v>530</v>
      </c>
      <c r="G207" s="190">
        <f t="shared" si="55"/>
        <v>500</v>
      </c>
      <c r="H207" s="190">
        <v>300</v>
      </c>
      <c r="I207" s="190">
        <v>1087.5</v>
      </c>
      <c r="J207" s="190">
        <v>575</v>
      </c>
      <c r="K207" s="170">
        <v>8.3470000000000013</v>
      </c>
      <c r="L207" s="218"/>
      <c r="M207" s="218"/>
      <c r="N207" s="218"/>
      <c r="O207" s="218"/>
      <c r="P207" s="218"/>
      <c r="Q207" s="218"/>
      <c r="R207" s="218"/>
      <c r="S207" s="201"/>
    </row>
    <row r="208" spans="1:19" x14ac:dyDescent="0.3">
      <c r="A208" s="169">
        <v>44813</v>
      </c>
      <c r="B208" s="159">
        <f t="shared" si="52"/>
        <v>2022</v>
      </c>
      <c r="C208" s="159">
        <f t="shared" si="53"/>
        <v>9</v>
      </c>
      <c r="D208" s="190">
        <f>AVERAGEIFS(data!G:G,data!A:A,'monthly-forecast'!B208,data!B:B,'monthly-forecast'!C208)</f>
        <v>530</v>
      </c>
      <c r="E208" s="190">
        <f>AVERAGEIFS(data!F:F,data!A:A,'monthly-forecast'!B208,data!B:B,'monthly-forecast'!C208)</f>
        <v>500</v>
      </c>
      <c r="F208" s="190">
        <f t="shared" si="54"/>
        <v>530</v>
      </c>
      <c r="G208" s="190">
        <f t="shared" si="55"/>
        <v>500</v>
      </c>
      <c r="H208" s="190">
        <v>328</v>
      </c>
      <c r="I208" s="190">
        <v>1087.5</v>
      </c>
      <c r="J208" s="190">
        <v>575</v>
      </c>
      <c r="K208" s="170">
        <v>7.9744999999999999</v>
      </c>
      <c r="L208" s="218"/>
      <c r="M208" s="218"/>
      <c r="N208" s="218"/>
      <c r="O208" s="218"/>
      <c r="P208" s="218"/>
      <c r="Q208" s="218"/>
      <c r="R208" s="218"/>
      <c r="S208" s="201"/>
    </row>
    <row r="209" spans="1:19" x14ac:dyDescent="0.3">
      <c r="A209" s="169">
        <v>44806</v>
      </c>
      <c r="B209" s="159">
        <f t="shared" si="52"/>
        <v>2022</v>
      </c>
      <c r="C209" s="159">
        <f t="shared" si="53"/>
        <v>9</v>
      </c>
      <c r="D209" s="190">
        <f>AVERAGEIFS(data!G:G,data!A:A,'monthly-forecast'!B209,data!B:B,'monthly-forecast'!C209)</f>
        <v>530</v>
      </c>
      <c r="E209" s="190">
        <f>AVERAGEIFS(data!F:F,data!A:A,'monthly-forecast'!B209,data!B:B,'monthly-forecast'!C209)</f>
        <v>500</v>
      </c>
      <c r="F209" s="190">
        <f t="shared" si="54"/>
        <v>530</v>
      </c>
      <c r="G209" s="190">
        <f t="shared" si="55"/>
        <v>500</v>
      </c>
      <c r="H209" s="190">
        <v>328</v>
      </c>
      <c r="I209" s="190">
        <v>1087.5</v>
      </c>
      <c r="J209" s="190">
        <v>553</v>
      </c>
      <c r="K209" s="170">
        <v>9.1140000000000008</v>
      </c>
      <c r="L209" s="219"/>
      <c r="M209" s="219"/>
      <c r="N209" s="219"/>
      <c r="O209" s="219"/>
      <c r="P209" s="219"/>
      <c r="Q209" s="219"/>
      <c r="R209" s="219"/>
      <c r="S209" s="202"/>
    </row>
    <row r="210" spans="1:19" x14ac:dyDescent="0.3">
      <c r="A210" s="169">
        <v>44799</v>
      </c>
      <c r="B210" s="159">
        <f t="shared" si="52"/>
        <v>2022</v>
      </c>
      <c r="C210" s="159">
        <f t="shared" si="53"/>
        <v>8</v>
      </c>
      <c r="D210" s="190">
        <f>AVERAGEIFS(data!G:G,data!A:A,'monthly-forecast'!B210,data!B:B,'monthly-forecast'!C210)</f>
        <v>550</v>
      </c>
      <c r="E210" s="190">
        <f>AVERAGEIFS(data!F:F,data!A:A,'monthly-forecast'!B210,data!B:B,'monthly-forecast'!C210)</f>
        <v>500</v>
      </c>
      <c r="F210" s="190">
        <f t="shared" si="54"/>
        <v>550</v>
      </c>
      <c r="G210" s="190">
        <f t="shared" si="55"/>
        <v>500</v>
      </c>
      <c r="H210" s="190">
        <v>328</v>
      </c>
      <c r="I210" s="190">
        <v>925</v>
      </c>
      <c r="J210" s="190">
        <v>510</v>
      </c>
      <c r="K210" s="170">
        <v>9.3747999999999987</v>
      </c>
      <c r="L210" s="217">
        <f>AVERAGE(D210:D213)</f>
        <v>550</v>
      </c>
      <c r="M210" s="217">
        <f>AVERAGE(E210:E213)</f>
        <v>500</v>
      </c>
      <c r="N210" s="217">
        <f>AVERAGE(D210:D213)</f>
        <v>550</v>
      </c>
      <c r="O210" s="217">
        <f>AVERAGE(E210:E213)</f>
        <v>500</v>
      </c>
      <c r="P210" s="217">
        <f t="shared" ref="P210:S210" si="69">AVERAGE(H210:H213)</f>
        <v>326.375</v>
      </c>
      <c r="Q210" s="217">
        <f t="shared" si="69"/>
        <v>925</v>
      </c>
      <c r="R210" s="217">
        <f t="shared" si="69"/>
        <v>511.5</v>
      </c>
      <c r="S210" s="200">
        <f t="shared" si="69"/>
        <v>8.7202999999999999</v>
      </c>
    </row>
    <row r="211" spans="1:19" x14ac:dyDescent="0.3">
      <c r="A211" s="169">
        <v>44792</v>
      </c>
      <c r="B211" s="159">
        <f t="shared" si="52"/>
        <v>2022</v>
      </c>
      <c r="C211" s="159">
        <f t="shared" si="53"/>
        <v>8</v>
      </c>
      <c r="D211" s="190">
        <f>AVERAGEIFS(data!G:G,data!A:A,'monthly-forecast'!B211,data!B:B,'monthly-forecast'!C211)</f>
        <v>550</v>
      </c>
      <c r="E211" s="190">
        <f>AVERAGEIFS(data!F:F,data!A:A,'monthly-forecast'!B211,data!B:B,'monthly-forecast'!C211)</f>
        <v>500</v>
      </c>
      <c r="F211" s="190">
        <f t="shared" si="54"/>
        <v>550</v>
      </c>
      <c r="G211" s="190">
        <f t="shared" si="55"/>
        <v>500</v>
      </c>
      <c r="H211" s="190">
        <v>323.5</v>
      </c>
      <c r="I211" s="190">
        <v>925</v>
      </c>
      <c r="J211" s="190">
        <v>510</v>
      </c>
      <c r="K211" s="170">
        <v>9.1650000000000009</v>
      </c>
      <c r="L211" s="218"/>
      <c r="M211" s="218"/>
      <c r="N211" s="218"/>
      <c r="O211" s="218"/>
      <c r="P211" s="218"/>
      <c r="Q211" s="218"/>
      <c r="R211" s="218"/>
      <c r="S211" s="201"/>
    </row>
    <row r="212" spans="1:19" x14ac:dyDescent="0.3">
      <c r="A212" s="169">
        <v>44785</v>
      </c>
      <c r="B212" s="159">
        <f t="shared" si="52"/>
        <v>2022</v>
      </c>
      <c r="C212" s="159">
        <f t="shared" si="53"/>
        <v>8</v>
      </c>
      <c r="D212" s="190">
        <f>AVERAGEIFS(data!G:G,data!A:A,'monthly-forecast'!B212,data!B:B,'monthly-forecast'!C212)</f>
        <v>550</v>
      </c>
      <c r="E212" s="190">
        <f>AVERAGEIFS(data!F:F,data!A:A,'monthly-forecast'!B212,data!B:B,'monthly-forecast'!C212)</f>
        <v>500</v>
      </c>
      <c r="F212" s="190">
        <f t="shared" si="54"/>
        <v>550</v>
      </c>
      <c r="G212" s="190">
        <f t="shared" si="55"/>
        <v>500</v>
      </c>
      <c r="H212" s="190">
        <v>327</v>
      </c>
      <c r="I212" s="190">
        <v>925</v>
      </c>
      <c r="J212" s="190">
        <v>582.5</v>
      </c>
      <c r="K212" s="170">
        <v>8.2531999999999996</v>
      </c>
      <c r="L212" s="218"/>
      <c r="M212" s="218"/>
      <c r="N212" s="218"/>
      <c r="O212" s="218"/>
      <c r="P212" s="218"/>
      <c r="Q212" s="218"/>
      <c r="R212" s="218"/>
      <c r="S212" s="201"/>
    </row>
    <row r="213" spans="1:19" x14ac:dyDescent="0.3">
      <c r="A213" s="169">
        <v>44778</v>
      </c>
      <c r="B213" s="159">
        <f t="shared" si="52"/>
        <v>2022</v>
      </c>
      <c r="C213" s="159">
        <f t="shared" si="53"/>
        <v>8</v>
      </c>
      <c r="D213" s="190">
        <f>AVERAGEIFS(data!G:G,data!A:A,'monthly-forecast'!B213,data!B:B,'monthly-forecast'!C213)</f>
        <v>550</v>
      </c>
      <c r="E213" s="190">
        <f>AVERAGEIFS(data!F:F,data!A:A,'monthly-forecast'!B213,data!B:B,'monthly-forecast'!C213)</f>
        <v>500</v>
      </c>
      <c r="F213" s="190">
        <f t="shared" si="54"/>
        <v>550</v>
      </c>
      <c r="G213" s="190">
        <f t="shared" si="55"/>
        <v>500</v>
      </c>
      <c r="H213" s="190">
        <v>327</v>
      </c>
      <c r="I213" s="190">
        <v>925</v>
      </c>
      <c r="J213" s="190">
        <v>443.5</v>
      </c>
      <c r="K213" s="170">
        <v>8.0882000000000005</v>
      </c>
      <c r="L213" s="219"/>
      <c r="M213" s="219"/>
      <c r="N213" s="219"/>
      <c r="O213" s="219"/>
      <c r="P213" s="219"/>
      <c r="Q213" s="219"/>
      <c r="R213" s="219"/>
      <c r="S213" s="202"/>
    </row>
  </sheetData>
  <mergeCells count="389">
    <mergeCell ref="D1:K1"/>
    <mergeCell ref="L1:S1"/>
    <mergeCell ref="L10:L13"/>
    <mergeCell ref="M10:M13"/>
    <mergeCell ref="P10:P13"/>
    <mergeCell ref="Q10:Q13"/>
    <mergeCell ref="L19:L22"/>
    <mergeCell ref="M19:M22"/>
    <mergeCell ref="P19:P22"/>
    <mergeCell ref="Q19:Q22"/>
    <mergeCell ref="R19:R22"/>
    <mergeCell ref="S19:S22"/>
    <mergeCell ref="R10:R13"/>
    <mergeCell ref="S10:S13"/>
    <mergeCell ref="L14:L18"/>
    <mergeCell ref="M14:M18"/>
    <mergeCell ref="P14:P18"/>
    <mergeCell ref="Q14:Q18"/>
    <mergeCell ref="R14:R18"/>
    <mergeCell ref="S14:S18"/>
    <mergeCell ref="L6:L9"/>
    <mergeCell ref="M6:M9"/>
    <mergeCell ref="N6:N9"/>
    <mergeCell ref="O6:O9"/>
    <mergeCell ref="L27:L30"/>
    <mergeCell ref="M27:M30"/>
    <mergeCell ref="P27:P30"/>
    <mergeCell ref="Q27:Q30"/>
    <mergeCell ref="R27:R30"/>
    <mergeCell ref="S27:S30"/>
    <mergeCell ref="N27:N30"/>
    <mergeCell ref="O27:O30"/>
    <mergeCell ref="L23:L26"/>
    <mergeCell ref="M23:M26"/>
    <mergeCell ref="P23:P26"/>
    <mergeCell ref="Q23:Q26"/>
    <mergeCell ref="R23:R26"/>
    <mergeCell ref="S23:S26"/>
    <mergeCell ref="N23:N26"/>
    <mergeCell ref="O23:O26"/>
    <mergeCell ref="L36:L39"/>
    <mergeCell ref="M36:M39"/>
    <mergeCell ref="P36:P39"/>
    <mergeCell ref="Q36:Q39"/>
    <mergeCell ref="R36:R39"/>
    <mergeCell ref="S36:S39"/>
    <mergeCell ref="N36:N39"/>
    <mergeCell ref="O36:O39"/>
    <mergeCell ref="L31:L35"/>
    <mergeCell ref="M31:M35"/>
    <mergeCell ref="P31:P35"/>
    <mergeCell ref="Q31:Q35"/>
    <mergeCell ref="R31:R35"/>
    <mergeCell ref="S31:S35"/>
    <mergeCell ref="N31:N35"/>
    <mergeCell ref="O31:O35"/>
    <mergeCell ref="L40:L43"/>
    <mergeCell ref="M40:M43"/>
    <mergeCell ref="P40:P43"/>
    <mergeCell ref="Q40:Q43"/>
    <mergeCell ref="R40:R43"/>
    <mergeCell ref="S40:S43"/>
    <mergeCell ref="L44:L48"/>
    <mergeCell ref="M44:M48"/>
    <mergeCell ref="P44:P48"/>
    <mergeCell ref="N40:N43"/>
    <mergeCell ref="L53:L57"/>
    <mergeCell ref="M53:M57"/>
    <mergeCell ref="P53:P57"/>
    <mergeCell ref="Q53:Q57"/>
    <mergeCell ref="R53:R57"/>
    <mergeCell ref="S53:S57"/>
    <mergeCell ref="Q44:Q48"/>
    <mergeCell ref="R44:R48"/>
    <mergeCell ref="S44:S48"/>
    <mergeCell ref="L49:L52"/>
    <mergeCell ref="M49:M52"/>
    <mergeCell ref="P49:P52"/>
    <mergeCell ref="Q49:Q52"/>
    <mergeCell ref="R49:R52"/>
    <mergeCell ref="S49:S52"/>
    <mergeCell ref="N44:N48"/>
    <mergeCell ref="N49:N52"/>
    <mergeCell ref="N53:N57"/>
    <mergeCell ref="L62:L65"/>
    <mergeCell ref="M62:M65"/>
    <mergeCell ref="P62:P65"/>
    <mergeCell ref="Q62:Q65"/>
    <mergeCell ref="R62:R65"/>
    <mergeCell ref="S62:S65"/>
    <mergeCell ref="L58:L61"/>
    <mergeCell ref="M58:M61"/>
    <mergeCell ref="P58:P61"/>
    <mergeCell ref="Q58:Q61"/>
    <mergeCell ref="R58:R61"/>
    <mergeCell ref="S58:S61"/>
    <mergeCell ref="O62:O65"/>
    <mergeCell ref="N58:N61"/>
    <mergeCell ref="N62:N65"/>
    <mergeCell ref="L71:L74"/>
    <mergeCell ref="M71:M74"/>
    <mergeCell ref="P71:P74"/>
    <mergeCell ref="Q71:Q74"/>
    <mergeCell ref="R71:R74"/>
    <mergeCell ref="S71:S74"/>
    <mergeCell ref="N71:N74"/>
    <mergeCell ref="O71:O74"/>
    <mergeCell ref="L66:L70"/>
    <mergeCell ref="M66:M70"/>
    <mergeCell ref="P66:P70"/>
    <mergeCell ref="Q66:Q70"/>
    <mergeCell ref="R66:R70"/>
    <mergeCell ref="S66:S70"/>
    <mergeCell ref="N66:N70"/>
    <mergeCell ref="O66:O70"/>
    <mergeCell ref="L79:L82"/>
    <mergeCell ref="M79:M82"/>
    <mergeCell ref="P79:P82"/>
    <mergeCell ref="Q79:Q82"/>
    <mergeCell ref="R79:R82"/>
    <mergeCell ref="S79:S82"/>
    <mergeCell ref="N79:N82"/>
    <mergeCell ref="O79:O82"/>
    <mergeCell ref="L75:L78"/>
    <mergeCell ref="M75:M78"/>
    <mergeCell ref="P75:P78"/>
    <mergeCell ref="Q75:Q78"/>
    <mergeCell ref="R75:R78"/>
    <mergeCell ref="S75:S78"/>
    <mergeCell ref="N75:N78"/>
    <mergeCell ref="O75:O78"/>
    <mergeCell ref="L88:L91"/>
    <mergeCell ref="M88:M91"/>
    <mergeCell ref="P88:P91"/>
    <mergeCell ref="Q88:Q91"/>
    <mergeCell ref="R88:R91"/>
    <mergeCell ref="S88:S91"/>
    <mergeCell ref="N88:N91"/>
    <mergeCell ref="O88:O91"/>
    <mergeCell ref="L83:L87"/>
    <mergeCell ref="M83:M87"/>
    <mergeCell ref="P83:P87"/>
    <mergeCell ref="Q83:Q87"/>
    <mergeCell ref="R83:R87"/>
    <mergeCell ref="S83:S87"/>
    <mergeCell ref="N83:N87"/>
    <mergeCell ref="O83:O87"/>
    <mergeCell ref="L97:L100"/>
    <mergeCell ref="M97:M100"/>
    <mergeCell ref="P97:P100"/>
    <mergeCell ref="Q97:Q100"/>
    <mergeCell ref="R97:R100"/>
    <mergeCell ref="S97:S100"/>
    <mergeCell ref="N97:N100"/>
    <mergeCell ref="O97:O100"/>
    <mergeCell ref="L92:L96"/>
    <mergeCell ref="M92:M96"/>
    <mergeCell ref="P92:P96"/>
    <mergeCell ref="Q92:Q96"/>
    <mergeCell ref="R92:R96"/>
    <mergeCell ref="S92:S96"/>
    <mergeCell ref="N92:N96"/>
    <mergeCell ref="O92:O96"/>
    <mergeCell ref="L105:L109"/>
    <mergeCell ref="M105:M109"/>
    <mergeCell ref="P105:P109"/>
    <mergeCell ref="Q105:Q109"/>
    <mergeCell ref="R105:R109"/>
    <mergeCell ref="S105:S109"/>
    <mergeCell ref="N105:N109"/>
    <mergeCell ref="O105:O109"/>
    <mergeCell ref="L101:L104"/>
    <mergeCell ref="M101:M104"/>
    <mergeCell ref="P101:P104"/>
    <mergeCell ref="Q101:Q104"/>
    <mergeCell ref="R101:R104"/>
    <mergeCell ref="S101:S104"/>
    <mergeCell ref="N101:N104"/>
    <mergeCell ref="O101:O104"/>
    <mergeCell ref="L114:L117"/>
    <mergeCell ref="M114:M117"/>
    <mergeCell ref="P114:P117"/>
    <mergeCell ref="Q114:Q117"/>
    <mergeCell ref="R114:R117"/>
    <mergeCell ref="S114:S117"/>
    <mergeCell ref="N114:N117"/>
    <mergeCell ref="O114:O117"/>
    <mergeCell ref="L110:L113"/>
    <mergeCell ref="M110:M113"/>
    <mergeCell ref="P110:P113"/>
    <mergeCell ref="Q110:Q113"/>
    <mergeCell ref="R110:R113"/>
    <mergeCell ref="S110:S113"/>
    <mergeCell ref="N110:N113"/>
    <mergeCell ref="O110:O113"/>
    <mergeCell ref="L123:L126"/>
    <mergeCell ref="M123:M126"/>
    <mergeCell ref="P123:P126"/>
    <mergeCell ref="Q123:Q126"/>
    <mergeCell ref="R123:R126"/>
    <mergeCell ref="S123:S126"/>
    <mergeCell ref="N123:N126"/>
    <mergeCell ref="O123:O126"/>
    <mergeCell ref="L118:L122"/>
    <mergeCell ref="M118:M122"/>
    <mergeCell ref="P118:P122"/>
    <mergeCell ref="Q118:Q122"/>
    <mergeCell ref="R118:R122"/>
    <mergeCell ref="S118:S122"/>
    <mergeCell ref="N118:N122"/>
    <mergeCell ref="O118:O122"/>
    <mergeCell ref="L132:L135"/>
    <mergeCell ref="M132:M135"/>
    <mergeCell ref="P132:P135"/>
    <mergeCell ref="Q132:Q135"/>
    <mergeCell ref="R132:R135"/>
    <mergeCell ref="S132:S135"/>
    <mergeCell ref="N132:N135"/>
    <mergeCell ref="O132:O135"/>
    <mergeCell ref="L127:L131"/>
    <mergeCell ref="M127:M131"/>
    <mergeCell ref="P127:P131"/>
    <mergeCell ref="Q127:Q131"/>
    <mergeCell ref="R127:R131"/>
    <mergeCell ref="S127:S131"/>
    <mergeCell ref="N127:N131"/>
    <mergeCell ref="O127:O131"/>
    <mergeCell ref="L140:L144"/>
    <mergeCell ref="M140:M144"/>
    <mergeCell ref="P140:P144"/>
    <mergeCell ref="Q140:Q144"/>
    <mergeCell ref="R140:R144"/>
    <mergeCell ref="S140:S144"/>
    <mergeCell ref="N140:N144"/>
    <mergeCell ref="O140:O144"/>
    <mergeCell ref="L136:L139"/>
    <mergeCell ref="M136:M139"/>
    <mergeCell ref="P136:P139"/>
    <mergeCell ref="Q136:Q139"/>
    <mergeCell ref="R136:R139"/>
    <mergeCell ref="S136:S139"/>
    <mergeCell ref="N136:N139"/>
    <mergeCell ref="O136:O139"/>
    <mergeCell ref="L149:L152"/>
    <mergeCell ref="M149:M152"/>
    <mergeCell ref="P149:P152"/>
    <mergeCell ref="Q149:Q152"/>
    <mergeCell ref="R149:R152"/>
    <mergeCell ref="S149:S152"/>
    <mergeCell ref="N149:N152"/>
    <mergeCell ref="O149:O152"/>
    <mergeCell ref="L145:L148"/>
    <mergeCell ref="M145:M148"/>
    <mergeCell ref="P145:P148"/>
    <mergeCell ref="Q145:Q148"/>
    <mergeCell ref="R145:R148"/>
    <mergeCell ref="S145:S148"/>
    <mergeCell ref="N145:N148"/>
    <mergeCell ref="O145:O148"/>
    <mergeCell ref="L158:L161"/>
    <mergeCell ref="M158:M161"/>
    <mergeCell ref="P158:P161"/>
    <mergeCell ref="Q158:Q161"/>
    <mergeCell ref="R158:R161"/>
    <mergeCell ref="S158:S161"/>
    <mergeCell ref="N158:N161"/>
    <mergeCell ref="O158:O161"/>
    <mergeCell ref="L153:L157"/>
    <mergeCell ref="M153:M157"/>
    <mergeCell ref="P153:P157"/>
    <mergeCell ref="Q153:Q157"/>
    <mergeCell ref="R153:R157"/>
    <mergeCell ref="S153:S157"/>
    <mergeCell ref="N153:N157"/>
    <mergeCell ref="O153:O157"/>
    <mergeCell ref="L166:L170"/>
    <mergeCell ref="M166:M170"/>
    <mergeCell ref="P166:P170"/>
    <mergeCell ref="Q166:Q170"/>
    <mergeCell ref="R166:R170"/>
    <mergeCell ref="S166:S170"/>
    <mergeCell ref="N166:N170"/>
    <mergeCell ref="O166:O170"/>
    <mergeCell ref="L162:L165"/>
    <mergeCell ref="M162:M165"/>
    <mergeCell ref="P162:P165"/>
    <mergeCell ref="Q162:Q165"/>
    <mergeCell ref="R162:R165"/>
    <mergeCell ref="S162:S165"/>
    <mergeCell ref="N162:N165"/>
    <mergeCell ref="O162:O165"/>
    <mergeCell ref="L175:L178"/>
    <mergeCell ref="M175:M178"/>
    <mergeCell ref="P175:P178"/>
    <mergeCell ref="Q175:Q178"/>
    <mergeCell ref="R175:R178"/>
    <mergeCell ref="S175:S178"/>
    <mergeCell ref="N175:N178"/>
    <mergeCell ref="O175:O178"/>
    <mergeCell ref="L171:L174"/>
    <mergeCell ref="M171:M174"/>
    <mergeCell ref="P171:P174"/>
    <mergeCell ref="Q171:Q174"/>
    <mergeCell ref="R171:R174"/>
    <mergeCell ref="S171:S174"/>
    <mergeCell ref="N171:N174"/>
    <mergeCell ref="O171:O174"/>
    <mergeCell ref="L184:L187"/>
    <mergeCell ref="M184:M187"/>
    <mergeCell ref="P184:P187"/>
    <mergeCell ref="Q184:Q187"/>
    <mergeCell ref="R184:R187"/>
    <mergeCell ref="S184:S187"/>
    <mergeCell ref="N184:N187"/>
    <mergeCell ref="O184:O187"/>
    <mergeCell ref="L179:L183"/>
    <mergeCell ref="M179:M183"/>
    <mergeCell ref="P179:P183"/>
    <mergeCell ref="Q179:Q183"/>
    <mergeCell ref="R179:R183"/>
    <mergeCell ref="S179:S183"/>
    <mergeCell ref="N179:N183"/>
    <mergeCell ref="O179:O183"/>
    <mergeCell ref="L192:L196"/>
    <mergeCell ref="M192:M196"/>
    <mergeCell ref="P192:P196"/>
    <mergeCell ref="Q192:Q196"/>
    <mergeCell ref="R192:R196"/>
    <mergeCell ref="S192:S196"/>
    <mergeCell ref="N192:N196"/>
    <mergeCell ref="O192:O196"/>
    <mergeCell ref="L188:L191"/>
    <mergeCell ref="M188:M191"/>
    <mergeCell ref="P188:P191"/>
    <mergeCell ref="Q188:Q191"/>
    <mergeCell ref="R188:R191"/>
    <mergeCell ref="S188:S191"/>
    <mergeCell ref="N188:N191"/>
    <mergeCell ref="O188:O191"/>
    <mergeCell ref="L201:L204"/>
    <mergeCell ref="M201:M204"/>
    <mergeCell ref="P201:P204"/>
    <mergeCell ref="Q201:Q204"/>
    <mergeCell ref="R201:R204"/>
    <mergeCell ref="S201:S204"/>
    <mergeCell ref="N201:N204"/>
    <mergeCell ref="O201:O204"/>
    <mergeCell ref="L197:L200"/>
    <mergeCell ref="M197:M200"/>
    <mergeCell ref="P197:P200"/>
    <mergeCell ref="Q197:Q200"/>
    <mergeCell ref="R197:R200"/>
    <mergeCell ref="S197:S200"/>
    <mergeCell ref="N197:N200"/>
    <mergeCell ref="O197:O200"/>
    <mergeCell ref="L210:L213"/>
    <mergeCell ref="M210:M213"/>
    <mergeCell ref="P210:P213"/>
    <mergeCell ref="Q210:Q213"/>
    <mergeCell ref="R210:R213"/>
    <mergeCell ref="S210:S213"/>
    <mergeCell ref="N210:N213"/>
    <mergeCell ref="O210:O213"/>
    <mergeCell ref="L205:L209"/>
    <mergeCell ref="M205:M209"/>
    <mergeCell ref="P205:P209"/>
    <mergeCell ref="Q205:Q209"/>
    <mergeCell ref="R205:R209"/>
    <mergeCell ref="S205:S209"/>
    <mergeCell ref="N205:N209"/>
    <mergeCell ref="O205:O209"/>
    <mergeCell ref="AC8:AM15"/>
    <mergeCell ref="N10:N13"/>
    <mergeCell ref="N14:N18"/>
    <mergeCell ref="N19:N22"/>
    <mergeCell ref="O10:O13"/>
    <mergeCell ref="O14:O18"/>
    <mergeCell ref="O19:O22"/>
    <mergeCell ref="AC47:AM60"/>
    <mergeCell ref="AC38:AM44"/>
    <mergeCell ref="P6:P9"/>
    <mergeCell ref="Q6:Q9"/>
    <mergeCell ref="R6:R9"/>
    <mergeCell ref="S6:S9"/>
    <mergeCell ref="O40:O43"/>
    <mergeCell ref="O44:O48"/>
    <mergeCell ref="O49:O52"/>
    <mergeCell ref="O53:O57"/>
    <mergeCell ref="O58:O6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9755-03B5-4342-977E-858B2636546C}">
  <dimension ref="B2:AO49"/>
  <sheetViews>
    <sheetView zoomScale="85" zoomScaleNormal="85" workbookViewId="0">
      <selection activeCell="Y35" sqref="Y35"/>
    </sheetView>
  </sheetViews>
  <sheetFormatPr defaultRowHeight="14.4" x14ac:dyDescent="0.3"/>
  <cols>
    <col min="2" max="4" width="10.33203125" customWidth="1"/>
    <col min="5" max="6" width="9.33203125" style="143" bestFit="1" customWidth="1"/>
    <col min="7" max="7" width="9.44140625" style="144" bestFit="1" customWidth="1"/>
    <col min="8" max="8" width="10.5546875" style="144" bestFit="1" customWidth="1"/>
    <col min="9" max="9" width="9.44140625" style="144" bestFit="1" customWidth="1"/>
    <col min="10" max="10" width="12.88671875" style="144" bestFit="1" customWidth="1"/>
    <col min="11" max="11" width="9.33203125" style="144" bestFit="1" customWidth="1"/>
    <col min="12" max="12" width="9.33203125" style="154" customWidth="1"/>
    <col min="13" max="14" width="9.33203125" style="144" customWidth="1"/>
    <col min="15" max="15" width="11.88671875" style="144" customWidth="1"/>
    <col min="16" max="18" width="9.33203125" style="144" customWidth="1"/>
    <col min="21" max="21" width="11.5546875" bestFit="1" customWidth="1"/>
    <col min="22" max="22" width="12.44140625" customWidth="1"/>
    <col min="23" max="23" width="12.109375" customWidth="1"/>
    <col min="24" max="24" width="12.5546875" customWidth="1"/>
    <col min="25" max="25" width="11" customWidth="1"/>
    <col min="26" max="26" width="12.88671875" customWidth="1"/>
    <col min="27" max="27" width="19.109375" bestFit="1" customWidth="1"/>
  </cols>
  <sheetData>
    <row r="2" spans="2:32" x14ac:dyDescent="0.3">
      <c r="B2" t="s">
        <v>69</v>
      </c>
      <c r="E2" s="143" t="s">
        <v>4</v>
      </c>
      <c r="F2" s="143" t="s">
        <v>70</v>
      </c>
      <c r="G2" s="144" t="s">
        <v>71</v>
      </c>
      <c r="H2" s="144" t="s">
        <v>72</v>
      </c>
      <c r="I2" s="144" t="s">
        <v>73</v>
      </c>
      <c r="J2" s="144" t="s">
        <v>74</v>
      </c>
      <c r="K2" s="144" t="s">
        <v>75</v>
      </c>
      <c r="L2" s="154" t="s">
        <v>4</v>
      </c>
      <c r="M2" s="143" t="s">
        <v>76</v>
      </c>
      <c r="N2" s="144" t="s">
        <v>71</v>
      </c>
      <c r="O2" s="144" t="s">
        <v>72</v>
      </c>
      <c r="P2" s="144" t="s">
        <v>73</v>
      </c>
      <c r="Q2" s="144" t="s">
        <v>74</v>
      </c>
      <c r="R2" s="144" t="s">
        <v>75</v>
      </c>
    </row>
    <row r="3" spans="2:32" x14ac:dyDescent="0.3">
      <c r="B3" s="137">
        <v>46172</v>
      </c>
      <c r="C3">
        <v>2026</v>
      </c>
      <c r="D3">
        <v>5</v>
      </c>
      <c r="F3" s="143">
        <v>563</v>
      </c>
      <c r="G3" s="144">
        <v>500</v>
      </c>
      <c r="H3" s="144">
        <v>800</v>
      </c>
      <c r="M3" s="154">
        <f t="shared" ref="M3:R18" si="0">(F3-F4)/F4</f>
        <v>-6.761836940860845E-2</v>
      </c>
      <c r="O3" s="154">
        <f>(H3-H4)/H4</f>
        <v>3.896103896103896E-2</v>
      </c>
    </row>
    <row r="4" spans="2:32" x14ac:dyDescent="0.3">
      <c r="B4" s="137" t="s">
        <v>101</v>
      </c>
      <c r="C4">
        <v>2026</v>
      </c>
      <c r="D4">
        <v>4</v>
      </c>
      <c r="E4" s="143">
        <v>713.85</v>
      </c>
      <c r="F4" s="143">
        <v>603.83000000000004</v>
      </c>
      <c r="G4" s="144">
        <v>495.5</v>
      </c>
      <c r="H4" s="144">
        <v>770</v>
      </c>
      <c r="I4" s="144">
        <v>629</v>
      </c>
      <c r="J4" s="144">
        <v>2.86</v>
      </c>
      <c r="M4" s="154">
        <f t="shared" si="0"/>
        <v>9.2904977375565689E-2</v>
      </c>
      <c r="O4" s="154">
        <f>(H4-H5)/H5</f>
        <v>0.1273792093704246</v>
      </c>
    </row>
    <row r="5" spans="2:32" x14ac:dyDescent="0.3">
      <c r="B5" s="137">
        <v>46113</v>
      </c>
      <c r="C5">
        <v>2026</v>
      </c>
      <c r="D5">
        <v>3</v>
      </c>
      <c r="E5" s="143">
        <v>567</v>
      </c>
      <c r="F5" s="143">
        <v>552.5</v>
      </c>
      <c r="G5" s="144">
        <v>473.25</v>
      </c>
      <c r="H5" s="144">
        <v>683</v>
      </c>
      <c r="I5" s="131">
        <v>719.38</v>
      </c>
      <c r="J5" s="131">
        <v>3.0764</v>
      </c>
      <c r="K5" s="131">
        <v>112.27</v>
      </c>
      <c r="M5" s="154">
        <f t="shared" si="0"/>
        <v>0.18817204301075269</v>
      </c>
      <c r="O5" s="154">
        <f t="shared" ref="O5" si="1">(H5-H6)/H6</f>
        <v>0.17253218884120172</v>
      </c>
    </row>
    <row r="6" spans="2:32" x14ac:dyDescent="0.3">
      <c r="B6" s="137">
        <v>46082</v>
      </c>
      <c r="C6">
        <v>2026</v>
      </c>
      <c r="D6">
        <v>2</v>
      </c>
      <c r="E6" s="143">
        <v>495</v>
      </c>
      <c r="F6" s="143">
        <v>465</v>
      </c>
      <c r="G6" s="144">
        <v>395</v>
      </c>
      <c r="H6" s="144">
        <v>582.5</v>
      </c>
      <c r="I6" s="144">
        <v>603.75</v>
      </c>
      <c r="J6" s="144">
        <v>3.0547499999999999</v>
      </c>
      <c r="K6" s="144">
        <v>102.73</v>
      </c>
      <c r="L6" s="154">
        <f>(E6-E7)/E7</f>
        <v>0.35989010989010989</v>
      </c>
      <c r="M6" s="154">
        <f t="shared" si="0"/>
        <v>0.33620689655172414</v>
      </c>
      <c r="N6" s="154">
        <f t="shared" si="0"/>
        <v>0.2038095238095238</v>
      </c>
      <c r="O6" s="154">
        <f t="shared" si="0"/>
        <v>0.18124207858048164</v>
      </c>
      <c r="P6" s="154">
        <f t="shared" si="0"/>
        <v>0.42268041237113402</v>
      </c>
      <c r="Q6" s="154">
        <f t="shared" si="0"/>
        <v>-2.5582545176159127E-2</v>
      </c>
      <c r="R6" s="154">
        <f t="shared" si="0"/>
        <v>0.47606937080621309</v>
      </c>
      <c r="T6" s="197" t="s">
        <v>77</v>
      </c>
      <c r="U6" s="197"/>
      <c r="V6" s="197"/>
      <c r="W6" s="197"/>
      <c r="X6" s="197"/>
      <c r="Y6" s="197"/>
      <c r="Z6" s="197"/>
      <c r="AA6" s="197"/>
      <c r="AB6" s="197"/>
      <c r="AC6" s="197"/>
      <c r="AD6" s="197"/>
    </row>
    <row r="7" spans="2:32" x14ac:dyDescent="0.3">
      <c r="B7" s="4">
        <v>46054</v>
      </c>
      <c r="C7">
        <v>2026</v>
      </c>
      <c r="D7">
        <v>1</v>
      </c>
      <c r="E7" s="143">
        <v>364</v>
      </c>
      <c r="F7" s="143">
        <v>348</v>
      </c>
      <c r="G7" s="144">
        <v>328.125</v>
      </c>
      <c r="H7" s="144">
        <v>493.125</v>
      </c>
      <c r="I7" s="144">
        <v>424.375</v>
      </c>
      <c r="J7" s="144">
        <v>3.1349499999999999</v>
      </c>
      <c r="K7" s="144">
        <v>69.596999999999994</v>
      </c>
      <c r="L7" s="154">
        <f t="shared" ref="L7:R49" si="2">(E7-E8)/E8</f>
        <v>8.3102493074792248E-3</v>
      </c>
      <c r="M7" s="154">
        <f t="shared" si="0"/>
        <v>5.7803468208092483E-3</v>
      </c>
      <c r="N7" s="154">
        <f t="shared" si="0"/>
        <v>0.1697860962566845</v>
      </c>
      <c r="O7" s="154">
        <f t="shared" si="0"/>
        <v>-5.1682692307692304E-2</v>
      </c>
      <c r="P7" s="154">
        <f t="shared" si="0"/>
        <v>0.12031414994720166</v>
      </c>
      <c r="Q7" s="154">
        <f t="shared" si="0"/>
        <v>-0.25214281795172133</v>
      </c>
      <c r="R7" s="154">
        <f t="shared" si="0"/>
        <v>7.7451497815026624E-2</v>
      </c>
      <c r="T7" s="197"/>
      <c r="U7" s="197"/>
      <c r="V7" s="197"/>
      <c r="W7" s="197"/>
      <c r="X7" s="197"/>
      <c r="Y7" s="197"/>
      <c r="Z7" s="197"/>
      <c r="AA7" s="197"/>
      <c r="AB7" s="197"/>
      <c r="AC7" s="197"/>
      <c r="AD7" s="197"/>
    </row>
    <row r="8" spans="2:32" x14ac:dyDescent="0.3">
      <c r="B8" s="4">
        <v>46023</v>
      </c>
      <c r="C8" s="1"/>
      <c r="D8" s="1"/>
      <c r="E8" s="143">
        <v>361</v>
      </c>
      <c r="F8" s="143">
        <v>346</v>
      </c>
      <c r="G8" s="144">
        <v>280.5</v>
      </c>
      <c r="H8" s="144">
        <v>520</v>
      </c>
      <c r="I8" s="144">
        <v>378.8</v>
      </c>
      <c r="J8" s="144">
        <v>4.19191</v>
      </c>
      <c r="K8" s="144">
        <v>64.594090909090909</v>
      </c>
      <c r="L8" s="154">
        <f t="shared" si="2"/>
        <v>2.7777777777777779E-3</v>
      </c>
      <c r="M8" s="154">
        <f t="shared" si="0"/>
        <v>5.4878048780487805E-2</v>
      </c>
      <c r="N8" s="154">
        <f t="shared" si="0"/>
        <v>8.4057971014492749E-2</v>
      </c>
      <c r="O8" s="154">
        <f t="shared" si="0"/>
        <v>4.6540880503144651E-2</v>
      </c>
      <c r="P8" s="154">
        <f t="shared" si="0"/>
        <v>9.4007220216606527E-2</v>
      </c>
      <c r="Q8" s="154">
        <f t="shared" si="0"/>
        <v>-5.3459142574084101E-2</v>
      </c>
      <c r="R8" s="154">
        <f t="shared" si="0"/>
        <v>4.502735615954815E-2</v>
      </c>
      <c r="T8" s="197"/>
      <c r="U8" s="197"/>
      <c r="V8" s="197"/>
      <c r="W8" s="197"/>
      <c r="X8" s="197"/>
      <c r="Y8" s="197"/>
      <c r="Z8" s="197"/>
      <c r="AA8" s="197"/>
      <c r="AB8" s="197"/>
      <c r="AC8" s="197"/>
      <c r="AD8" s="197"/>
    </row>
    <row r="9" spans="2:32" x14ac:dyDescent="0.3">
      <c r="B9" s="4">
        <v>45992</v>
      </c>
      <c r="C9" s="1"/>
      <c r="D9" s="1"/>
      <c r="E9" s="143">
        <v>360</v>
      </c>
      <c r="F9" s="143">
        <v>328</v>
      </c>
      <c r="G9" s="144">
        <v>258.75</v>
      </c>
      <c r="H9" s="144">
        <v>496.875</v>
      </c>
      <c r="I9" s="144">
        <v>346.25</v>
      </c>
      <c r="J9" s="144">
        <v>4.4286624999999997</v>
      </c>
      <c r="K9" s="144">
        <v>61.810909090909092</v>
      </c>
      <c r="L9" s="154">
        <f t="shared" si="2"/>
        <v>0</v>
      </c>
      <c r="M9" s="154">
        <f t="shared" si="0"/>
        <v>0</v>
      </c>
      <c r="N9" s="154">
        <f t="shared" si="0"/>
        <v>4.5454545454545456E-2</v>
      </c>
      <c r="O9" s="154">
        <f t="shared" si="0"/>
        <v>0.10724233983286909</v>
      </c>
      <c r="P9" s="154">
        <f t="shared" si="0"/>
        <v>-5.8463630183548609E-2</v>
      </c>
      <c r="Q9" s="154">
        <f t="shared" si="0"/>
        <v>-1.0058872344527538E-2</v>
      </c>
      <c r="R9" s="154">
        <f t="shared" si="0"/>
        <v>-2.9557033434980146E-2</v>
      </c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</row>
    <row r="10" spans="2:32" x14ac:dyDescent="0.3">
      <c r="B10" s="4">
        <v>45962</v>
      </c>
      <c r="C10" s="1"/>
      <c r="D10" s="1"/>
      <c r="E10" s="143">
        <v>360</v>
      </c>
      <c r="F10" s="143">
        <v>328</v>
      </c>
      <c r="G10" s="144">
        <v>247.5</v>
      </c>
      <c r="H10" s="144">
        <v>448.75</v>
      </c>
      <c r="I10" s="144">
        <v>367.75</v>
      </c>
      <c r="J10" s="144">
        <v>4.4736624999999997</v>
      </c>
      <c r="K10" s="144">
        <v>63.6935</v>
      </c>
      <c r="L10" s="154">
        <f t="shared" si="2"/>
        <v>-0.12408759124087591</v>
      </c>
      <c r="M10" s="154">
        <f t="shared" si="0"/>
        <v>-0.12533333333333332</v>
      </c>
      <c r="N10" s="154">
        <f t="shared" si="0"/>
        <v>1.020408163265306E-2</v>
      </c>
      <c r="O10" s="154">
        <f t="shared" si="0"/>
        <v>0.121875</v>
      </c>
      <c r="P10" s="154">
        <f t="shared" si="0"/>
        <v>6.1559507523939808E-3</v>
      </c>
      <c r="Q10" s="154">
        <f t="shared" si="0"/>
        <v>0.33629921142242641</v>
      </c>
      <c r="R10" s="154">
        <f t="shared" si="0"/>
        <v>-4.4982569636509914E-3</v>
      </c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</row>
    <row r="11" spans="2:32" x14ac:dyDescent="0.3">
      <c r="B11" s="4">
        <v>45931</v>
      </c>
      <c r="C11" s="1"/>
      <c r="D11" s="1"/>
      <c r="E11" s="143">
        <v>411</v>
      </c>
      <c r="F11" s="143">
        <v>375</v>
      </c>
      <c r="G11" s="144">
        <v>245</v>
      </c>
      <c r="H11" s="144">
        <v>400</v>
      </c>
      <c r="I11" s="144">
        <v>365.5</v>
      </c>
      <c r="J11" s="144">
        <v>3.3478000000000003</v>
      </c>
      <c r="K11" s="144">
        <v>63.981304347826082</v>
      </c>
      <c r="L11" s="154">
        <f t="shared" si="2"/>
        <v>5.1150895140664961E-2</v>
      </c>
      <c r="M11" s="154">
        <f t="shared" si="0"/>
        <v>5.3619302949061663E-3</v>
      </c>
      <c r="N11" s="154">
        <f t="shared" si="0"/>
        <v>-0.12694877505567928</v>
      </c>
      <c r="O11" s="154">
        <f t="shared" si="0"/>
        <v>0.13475177304964539</v>
      </c>
      <c r="P11" s="154">
        <f t="shared" si="0"/>
        <v>-5.9504663879060789E-2</v>
      </c>
      <c r="Q11" s="154">
        <f t="shared" si="0"/>
        <v>0.12184639872662169</v>
      </c>
      <c r="R11" s="154">
        <f t="shared" si="0"/>
        <v>-5.3658265663457168E-2</v>
      </c>
      <c r="T11" s="197"/>
      <c r="U11" s="197"/>
      <c r="V11" s="197"/>
      <c r="W11" s="197"/>
      <c r="X11" s="197"/>
      <c r="Y11" s="197"/>
      <c r="Z11" s="197"/>
      <c r="AA11" s="197"/>
      <c r="AB11" s="197"/>
      <c r="AC11" s="197"/>
      <c r="AD11" s="197"/>
    </row>
    <row r="12" spans="2:32" x14ac:dyDescent="0.3">
      <c r="B12" s="4">
        <v>45901</v>
      </c>
      <c r="C12" s="1"/>
      <c r="D12" s="1"/>
      <c r="E12" s="143">
        <v>391</v>
      </c>
      <c r="F12" s="143">
        <v>373</v>
      </c>
      <c r="G12" s="144">
        <v>280.625</v>
      </c>
      <c r="H12" s="144">
        <v>352.5</v>
      </c>
      <c r="I12" s="144">
        <v>388.625</v>
      </c>
      <c r="J12" s="144">
        <v>2.9841875</v>
      </c>
      <c r="K12" s="144">
        <v>67.609090909090909</v>
      </c>
      <c r="L12" s="154">
        <f t="shared" si="2"/>
        <v>5.675675675675676E-2</v>
      </c>
      <c r="M12" s="154">
        <f t="shared" si="0"/>
        <v>8.1081081081081086E-3</v>
      </c>
      <c r="N12" s="154">
        <f t="shared" si="0"/>
        <v>-9.0945902170391932E-2</v>
      </c>
      <c r="O12" s="154">
        <f t="shared" si="0"/>
        <v>8.964451313755796E-2</v>
      </c>
      <c r="P12" s="154">
        <f t="shared" si="0"/>
        <v>-0.12432401982875171</v>
      </c>
      <c r="Q12" s="154">
        <f t="shared" si="0"/>
        <v>2.3678803221778493E-2</v>
      </c>
      <c r="R12" s="154">
        <f t="shared" si="0"/>
        <v>5.4250735349501821E-3</v>
      </c>
      <c r="T12" s="197"/>
      <c r="U12" s="197"/>
      <c r="V12" s="197"/>
      <c r="W12" s="197"/>
      <c r="X12" s="197"/>
      <c r="Y12" s="197"/>
      <c r="Z12" s="197"/>
      <c r="AA12" s="197"/>
      <c r="AB12" s="197"/>
      <c r="AC12" s="197"/>
      <c r="AD12" s="197"/>
    </row>
    <row r="13" spans="2:32" x14ac:dyDescent="0.3">
      <c r="B13" s="4">
        <v>45870</v>
      </c>
      <c r="C13" s="1"/>
      <c r="D13" s="1"/>
      <c r="E13" s="143">
        <v>370</v>
      </c>
      <c r="F13" s="143">
        <v>370</v>
      </c>
      <c r="G13" s="144">
        <v>308.7</v>
      </c>
      <c r="H13" s="144">
        <v>323.5</v>
      </c>
      <c r="I13" s="144">
        <v>443.8</v>
      </c>
      <c r="J13" s="144">
        <v>2.9151600000000002</v>
      </c>
      <c r="K13" s="144">
        <v>67.244285714285709</v>
      </c>
      <c r="L13" s="154">
        <f t="shared" si="2"/>
        <v>0.15625</v>
      </c>
      <c r="M13" s="154">
        <f t="shared" si="0"/>
        <v>0.20129870129870131</v>
      </c>
      <c r="N13" s="154">
        <f t="shared" si="0"/>
        <v>-1.6095617529880514E-2</v>
      </c>
      <c r="O13" s="154">
        <f t="shared" si="0"/>
        <v>6.0655737704918035E-2</v>
      </c>
      <c r="P13" s="154">
        <f t="shared" si="0"/>
        <v>6.2357869539198113E-2</v>
      </c>
      <c r="Q13" s="154">
        <f t="shared" si="0"/>
        <v>-0.13409374443058272</v>
      </c>
      <c r="R13" s="154">
        <f t="shared" si="0"/>
        <v>-3.3357351340588794E-2</v>
      </c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</row>
    <row r="14" spans="2:32" x14ac:dyDescent="0.3">
      <c r="B14" s="4">
        <v>45839</v>
      </c>
      <c r="C14" s="1"/>
      <c r="D14" s="1"/>
      <c r="E14" s="143">
        <v>320</v>
      </c>
      <c r="F14" s="143">
        <v>308</v>
      </c>
      <c r="G14" s="144">
        <v>313.75</v>
      </c>
      <c r="H14" s="144">
        <v>305</v>
      </c>
      <c r="I14" s="144">
        <v>417.75</v>
      </c>
      <c r="J14" s="144">
        <v>3.3666</v>
      </c>
      <c r="K14" s="144">
        <v>69.564782608695651</v>
      </c>
      <c r="L14" s="154">
        <f t="shared" si="2"/>
        <v>1.5873015873015872E-2</v>
      </c>
      <c r="M14" s="154">
        <f t="shared" si="0"/>
        <v>0</v>
      </c>
      <c r="N14" s="154">
        <f t="shared" si="0"/>
        <v>0.28388746803069054</v>
      </c>
      <c r="O14" s="154">
        <f t="shared" si="0"/>
        <v>5.1724137931034482E-2</v>
      </c>
      <c r="P14" s="154">
        <f t="shared" si="0"/>
        <v>9.2156862745098045E-2</v>
      </c>
      <c r="Q14" s="154">
        <f t="shared" si="0"/>
        <v>-8.111482994032819E-2</v>
      </c>
      <c r="R14" s="154">
        <f t="shared" si="0"/>
        <v>-4.0357553398541477E-3</v>
      </c>
      <c r="T14" s="130"/>
      <c r="U14" s="198" t="s">
        <v>78</v>
      </c>
      <c r="V14" s="198"/>
      <c r="W14" s="198" t="s">
        <v>79</v>
      </c>
      <c r="X14" s="198"/>
      <c r="Y14" s="198" t="s">
        <v>79</v>
      </c>
      <c r="Z14" s="198"/>
      <c r="AA14" s="198" t="s">
        <v>80</v>
      </c>
      <c r="AB14" s="198"/>
      <c r="AC14" s="198" t="s">
        <v>81</v>
      </c>
      <c r="AD14" s="198"/>
      <c r="AE14" s="198" t="s">
        <v>81</v>
      </c>
      <c r="AF14" s="198"/>
    </row>
    <row r="15" spans="2:32" ht="28.8" x14ac:dyDescent="0.3">
      <c r="B15" s="4">
        <v>45809</v>
      </c>
      <c r="C15" s="1"/>
      <c r="D15" s="1"/>
      <c r="E15" s="143">
        <v>315</v>
      </c>
      <c r="F15" s="143">
        <v>308</v>
      </c>
      <c r="G15" s="144">
        <v>244.375</v>
      </c>
      <c r="H15" s="144">
        <v>290</v>
      </c>
      <c r="I15" s="144">
        <v>382.5</v>
      </c>
      <c r="J15" s="144">
        <v>3.6637875000000002</v>
      </c>
      <c r="K15" s="144">
        <v>69.846666666666664</v>
      </c>
      <c r="L15" s="154">
        <f t="shared" si="2"/>
        <v>-3.0769230769230771E-2</v>
      </c>
      <c r="M15" s="154">
        <f t="shared" si="0"/>
        <v>-4.0498442367601244E-2</v>
      </c>
      <c r="N15" s="154">
        <f t="shared" si="0"/>
        <v>0.13927738927738928</v>
      </c>
      <c r="O15" s="154">
        <f t="shared" si="0"/>
        <v>-4.1322314049586778E-2</v>
      </c>
      <c r="P15" s="154">
        <f t="shared" si="0"/>
        <v>8.9743589743589744E-2</v>
      </c>
      <c r="Q15" s="154">
        <f t="shared" si="0"/>
        <v>6.5652386367933038E-2</v>
      </c>
      <c r="R15" s="154">
        <f t="shared" si="0"/>
        <v>8.9775230962714947E-2</v>
      </c>
      <c r="T15" s="130"/>
      <c r="U15" s="130" t="s">
        <v>82</v>
      </c>
      <c r="V15" s="130" t="s">
        <v>83</v>
      </c>
      <c r="W15" s="130" t="s">
        <v>82</v>
      </c>
      <c r="X15" s="130" t="s">
        <v>83</v>
      </c>
      <c r="Y15" s="130" t="s">
        <v>82</v>
      </c>
      <c r="Z15" s="130" t="s">
        <v>83</v>
      </c>
      <c r="AA15" s="130"/>
      <c r="AB15" s="130"/>
      <c r="AC15" s="130"/>
      <c r="AD15" s="130"/>
    </row>
    <row r="16" spans="2:32" x14ac:dyDescent="0.3">
      <c r="B16" s="4">
        <v>45778</v>
      </c>
      <c r="C16" s="1"/>
      <c r="D16" s="1"/>
      <c r="E16" s="143">
        <v>325</v>
      </c>
      <c r="F16" s="143">
        <v>321</v>
      </c>
      <c r="G16" s="144">
        <v>214.5</v>
      </c>
      <c r="H16" s="144">
        <v>302.5</v>
      </c>
      <c r="I16" s="144">
        <v>351</v>
      </c>
      <c r="J16" s="144">
        <v>3.4380700000000006</v>
      </c>
      <c r="K16" s="144">
        <v>64.092727272727274</v>
      </c>
      <c r="L16" s="154">
        <f t="shared" si="2"/>
        <v>3.1746031746031744E-2</v>
      </c>
      <c r="M16" s="154">
        <f t="shared" si="0"/>
        <v>5.2459016393442623E-2</v>
      </c>
      <c r="N16" s="154">
        <f t="shared" si="0"/>
        <v>-4.4011142061281337E-2</v>
      </c>
      <c r="O16" s="154">
        <f t="shared" si="0"/>
        <v>0</v>
      </c>
      <c r="P16" s="154">
        <f t="shared" si="0"/>
        <v>2.8571428571428571E-2</v>
      </c>
      <c r="Q16" s="154">
        <f t="shared" si="0"/>
        <v>-1.0121716848174133E-2</v>
      </c>
      <c r="R16" s="154">
        <f t="shared" si="0"/>
        <v>-4.2352621570225603E-2</v>
      </c>
      <c r="T16" s="130" t="s">
        <v>84</v>
      </c>
      <c r="U16" s="132">
        <f xml:space="preserve"> 0.080991528041*F7 + 0.303754553817*F8 - 0.25338201366*H7 + 0.269148503584*H8 + 0.00378757678133*G7 + 0.43547234846*G8 - 12.2555082812*J7 + 15.7710625006*J8 + 0.517281394734*I7- 0.299449478792*I8 - 3.00478655786</f>
        <v>402.46064781766029</v>
      </c>
      <c r="V16" s="142">
        <f>U16*1.15</f>
        <v>462.82974499030928</v>
      </c>
      <c r="W16" s="132">
        <f xml:space="preserve"> 0.080991528041*F6 + 0.303754553817*F7 - 0.25338201366*H6 + 0.269148503584*H7 + 0.00378757678133*G6 + 0.43547234846*G7 - 12.2555082812*J6 + 15.7710625006*J7 + 0.517281394734*I6 - 0.299449478792*I7 - 3.00478655786</f>
        <v>467.11089672205173</v>
      </c>
      <c r="X16" s="142">
        <f>W16*1.15</f>
        <v>537.17753123035948</v>
      </c>
      <c r="Y16" s="132">
        <f xml:space="preserve"> 0.080991528041*F5 + 0.303754553817*F6 - 0.25338201366*H5 + 0.269148503584*H6 + 0.00378757678133*G5 + 0.43547234846*G6 - 12.2555082812*J5 + 15.7710625006*J6 + 0.517281394734*I5 - 0.299449478792*I6 - 3.00478655786</f>
        <v>542.31511099156103</v>
      </c>
      <c r="Z16" s="142">
        <f>Y16*1.15</f>
        <v>623.66237764029518</v>
      </c>
      <c r="AA16" s="142">
        <f xml:space="preserve"> 0.080991528041*F4 + 0.303754553817*F5 - 0.25338201366*H4 + 0.269148503584*H5 + 0.00378757678133*G4 + 0.43547234846*G5 - 12.2555082812*J4 + 15.7710625006*J5 + 0.517281394734*I4 - 0.299449478792*I5 - 3.00478655786</f>
        <v>533.83240366345638</v>
      </c>
      <c r="AB16" s="130"/>
      <c r="AC16" s="130"/>
      <c r="AD16" s="130"/>
    </row>
    <row r="17" spans="2:41" x14ac:dyDescent="0.3">
      <c r="B17" s="4">
        <v>45748</v>
      </c>
      <c r="C17" s="1"/>
      <c r="D17" s="1"/>
      <c r="E17" s="143">
        <v>315</v>
      </c>
      <c r="F17" s="143">
        <v>305</v>
      </c>
      <c r="G17" s="144">
        <v>224.375</v>
      </c>
      <c r="H17" s="144">
        <v>302.5</v>
      </c>
      <c r="I17" s="144">
        <v>341.25</v>
      </c>
      <c r="J17" s="144">
        <v>3.4732250000000002</v>
      </c>
      <c r="K17" s="144">
        <v>66.927272727272737</v>
      </c>
      <c r="L17" s="154">
        <f t="shared" si="2"/>
        <v>1.2861736334405145E-2</v>
      </c>
      <c r="M17" s="154">
        <f t="shared" si="0"/>
        <v>1.3289036544850499E-2</v>
      </c>
      <c r="N17" s="154">
        <f t="shared" si="0"/>
        <v>-5.0264550264550262E-2</v>
      </c>
      <c r="O17" s="154">
        <f t="shared" si="0"/>
        <v>-2.0242914979757085E-2</v>
      </c>
      <c r="P17" s="154">
        <f t="shared" si="0"/>
        <v>-3.1914893617021274E-2</v>
      </c>
      <c r="Q17" s="154">
        <f t="shared" si="0"/>
        <v>-0.16073240866035174</v>
      </c>
      <c r="R17" s="154">
        <f t="shared" si="0"/>
        <v>-6.7104265136882141E-2</v>
      </c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</row>
    <row r="18" spans="2:41" x14ac:dyDescent="0.3">
      <c r="B18" s="4">
        <v>45717</v>
      </c>
      <c r="C18" s="1"/>
      <c r="D18" s="1"/>
      <c r="E18" s="143">
        <v>311</v>
      </c>
      <c r="F18" s="143">
        <v>301</v>
      </c>
      <c r="G18" s="144">
        <v>236.25</v>
      </c>
      <c r="H18" s="144">
        <v>308.75</v>
      </c>
      <c r="I18" s="144">
        <v>352.5</v>
      </c>
      <c r="J18" s="144">
        <v>4.1383999999999999</v>
      </c>
      <c r="K18" s="144">
        <v>71.741428571428571</v>
      </c>
      <c r="L18" s="154">
        <f t="shared" si="2"/>
        <v>3.2258064516129032E-3</v>
      </c>
      <c r="M18" s="154">
        <f t="shared" si="0"/>
        <v>-2.2727272727272728E-2</v>
      </c>
      <c r="N18" s="154">
        <f t="shared" si="0"/>
        <v>-1.5625E-2</v>
      </c>
      <c r="O18" s="154">
        <f t="shared" si="0"/>
        <v>-0.10018214936247723</v>
      </c>
      <c r="P18" s="154">
        <f t="shared" si="0"/>
        <v>-8.143322475570032E-2</v>
      </c>
      <c r="Q18" s="154">
        <f t="shared" si="0"/>
        <v>9.9961792115886086E-2</v>
      </c>
      <c r="R18" s="154">
        <f t="shared" si="0"/>
        <v>-4.5902829100733136E-2</v>
      </c>
    </row>
    <row r="19" spans="2:41" x14ac:dyDescent="0.3">
      <c r="B19" s="4">
        <v>45689</v>
      </c>
      <c r="C19" s="1"/>
      <c r="D19" s="1"/>
      <c r="E19" s="143">
        <v>310</v>
      </c>
      <c r="F19" s="143">
        <v>308</v>
      </c>
      <c r="G19" s="144">
        <v>240</v>
      </c>
      <c r="H19" s="144">
        <v>343.125</v>
      </c>
      <c r="I19" s="144">
        <v>383.75</v>
      </c>
      <c r="J19" s="144">
        <v>3.7623125000000002</v>
      </c>
      <c r="K19" s="144">
        <v>75.192999999999998</v>
      </c>
      <c r="L19" s="154">
        <f t="shared" si="2"/>
        <v>2.9900332225913623E-2</v>
      </c>
      <c r="M19" s="154">
        <f t="shared" si="2"/>
        <v>0.11594202898550725</v>
      </c>
      <c r="N19" s="154">
        <f t="shared" si="2"/>
        <v>8.4010840108401055E-2</v>
      </c>
      <c r="O19" s="154">
        <f t="shared" si="2"/>
        <v>-0.13895859473023839</v>
      </c>
      <c r="P19" s="154">
        <f t="shared" si="2"/>
        <v>0.11393323657474601</v>
      </c>
      <c r="Q19" s="154">
        <f t="shared" si="2"/>
        <v>8.2763176583777777E-3</v>
      </c>
      <c r="R19" s="154">
        <f t="shared" si="2"/>
        <v>-3.8377834369404965E-2</v>
      </c>
    </row>
    <row r="20" spans="2:41" x14ac:dyDescent="0.3">
      <c r="B20" s="4">
        <v>45658</v>
      </c>
      <c r="C20" s="1"/>
      <c r="D20" s="1"/>
      <c r="E20" s="143">
        <v>301</v>
      </c>
      <c r="F20" s="143">
        <v>276</v>
      </c>
      <c r="G20" s="144">
        <v>221.4</v>
      </c>
      <c r="H20" s="144">
        <v>398.5</v>
      </c>
      <c r="I20" s="144">
        <v>344.5</v>
      </c>
      <c r="J20" s="144">
        <v>3.7314299999999996</v>
      </c>
      <c r="K20" s="144">
        <v>78.193913043478261</v>
      </c>
      <c r="L20" s="154">
        <f t="shared" si="2"/>
        <v>0.11481481481481481</v>
      </c>
      <c r="M20" s="154">
        <f t="shared" si="2"/>
        <v>0.13114754098360656</v>
      </c>
      <c r="N20" s="154">
        <f t="shared" si="2"/>
        <v>5.7921635434412524E-3</v>
      </c>
      <c r="O20" s="154">
        <f t="shared" si="2"/>
        <v>-3.9759036144578312E-2</v>
      </c>
      <c r="P20" s="154">
        <f t="shared" si="2"/>
        <v>0.1024</v>
      </c>
      <c r="Q20" s="154">
        <f t="shared" si="2"/>
        <v>0.10270509879539431</v>
      </c>
      <c r="R20" s="154">
        <f t="shared" si="2"/>
        <v>6.7818379126462242E-2</v>
      </c>
      <c r="T20" s="197" t="s">
        <v>85</v>
      </c>
      <c r="U20" s="197"/>
      <c r="V20" s="197"/>
      <c r="W20" s="197"/>
      <c r="X20" s="197"/>
      <c r="Y20" s="197"/>
      <c r="Z20" s="197"/>
      <c r="AA20" s="197"/>
      <c r="AB20" s="197"/>
      <c r="AC20" s="197"/>
      <c r="AD20" s="197"/>
      <c r="AF20" s="198" t="s">
        <v>86</v>
      </c>
      <c r="AG20" s="198"/>
      <c r="AH20" s="198"/>
      <c r="AI20" s="198"/>
      <c r="AJ20" s="198"/>
      <c r="AK20" s="198"/>
      <c r="AL20" s="198"/>
      <c r="AM20" s="198"/>
      <c r="AN20" s="198"/>
      <c r="AO20" s="198"/>
    </row>
    <row r="21" spans="2:41" x14ac:dyDescent="0.3">
      <c r="B21" s="4">
        <v>45627</v>
      </c>
      <c r="C21" s="1"/>
      <c r="D21" s="1"/>
      <c r="E21" s="143">
        <v>270</v>
      </c>
      <c r="F21" s="143">
        <v>244</v>
      </c>
      <c r="G21" s="144">
        <v>220.125</v>
      </c>
      <c r="H21" s="144">
        <v>415</v>
      </c>
      <c r="I21" s="144">
        <v>312.5</v>
      </c>
      <c r="J21" s="144">
        <v>3.3838874999999997</v>
      </c>
      <c r="K21" s="144">
        <v>73.227727272727265</v>
      </c>
      <c r="L21" s="154">
        <f t="shared" si="2"/>
        <v>0</v>
      </c>
      <c r="M21" s="154">
        <f t="shared" si="2"/>
        <v>-7.9245283018867921E-2</v>
      </c>
      <c r="N21" s="154">
        <f t="shared" si="2"/>
        <v>-7.510504201680672E-2</v>
      </c>
      <c r="O21" s="154">
        <f t="shared" si="2"/>
        <v>-3.4883720930232558E-2</v>
      </c>
      <c r="P21" s="154">
        <f t="shared" si="2"/>
        <v>-1.2013910844135349E-2</v>
      </c>
      <c r="Q21" s="154">
        <f t="shared" si="2"/>
        <v>0.15587692780652768</v>
      </c>
      <c r="R21" s="154">
        <f t="shared" si="2"/>
        <v>-3.8205633763004321E-3</v>
      </c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F21" s="198"/>
      <c r="AG21" s="198"/>
      <c r="AH21" s="198"/>
      <c r="AI21" s="198"/>
      <c r="AJ21" s="198"/>
      <c r="AK21" s="198"/>
      <c r="AL21" s="198"/>
      <c r="AM21" s="198"/>
      <c r="AN21" s="198"/>
      <c r="AO21" s="198"/>
    </row>
    <row r="22" spans="2:41" x14ac:dyDescent="0.3">
      <c r="B22" s="4">
        <v>45597</v>
      </c>
      <c r="C22" s="1"/>
      <c r="D22" s="1"/>
      <c r="E22" s="143">
        <v>270</v>
      </c>
      <c r="F22" s="143">
        <v>265</v>
      </c>
      <c r="G22" s="144">
        <v>238</v>
      </c>
      <c r="H22" s="144">
        <v>430</v>
      </c>
      <c r="I22" s="144">
        <v>316.3</v>
      </c>
      <c r="J22" s="144">
        <v>2.9275499999999997</v>
      </c>
      <c r="K22" s="144">
        <v>73.508571428571429</v>
      </c>
      <c r="L22" s="154">
        <f t="shared" si="2"/>
        <v>0</v>
      </c>
      <c r="M22" s="154">
        <f t="shared" si="2"/>
        <v>2.3166023166023165E-2</v>
      </c>
      <c r="N22" s="154">
        <f t="shared" si="2"/>
        <v>-1.8556701030927835E-2</v>
      </c>
      <c r="O22" s="154">
        <f t="shared" si="2"/>
        <v>0</v>
      </c>
      <c r="P22" s="154">
        <f t="shared" si="2"/>
        <v>-1.7320388349514527E-2</v>
      </c>
      <c r="Q22" s="154">
        <f t="shared" si="2"/>
        <v>0.12628399953833694</v>
      </c>
      <c r="R22" s="154">
        <f t="shared" si="2"/>
        <v>-2.3356337850338752E-2</v>
      </c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F22" s="198"/>
      <c r="AG22" s="198"/>
      <c r="AH22" s="198"/>
      <c r="AI22" s="198"/>
      <c r="AJ22" s="198"/>
      <c r="AK22" s="198"/>
      <c r="AL22" s="198"/>
      <c r="AM22" s="198"/>
      <c r="AN22" s="198"/>
      <c r="AO22" s="198"/>
    </row>
    <row r="23" spans="2:41" x14ac:dyDescent="0.3">
      <c r="B23" s="4">
        <v>45566</v>
      </c>
      <c r="C23" s="1"/>
      <c r="D23" s="1"/>
      <c r="E23" s="143">
        <v>270</v>
      </c>
      <c r="F23" s="143">
        <v>259</v>
      </c>
      <c r="G23" s="144">
        <v>242.5</v>
      </c>
      <c r="H23" s="144">
        <v>430</v>
      </c>
      <c r="I23" s="144">
        <v>321.875</v>
      </c>
      <c r="J23" s="144">
        <v>2.5993000000000004</v>
      </c>
      <c r="K23" s="144">
        <v>75.266521739130425</v>
      </c>
      <c r="L23" s="154">
        <f t="shared" si="2"/>
        <v>7.1428571428571425E-2</v>
      </c>
      <c r="M23" s="154">
        <f t="shared" si="2"/>
        <v>0.13100436681222707</v>
      </c>
      <c r="N23" s="154">
        <f t="shared" si="2"/>
        <v>-2.2670025188916875E-2</v>
      </c>
      <c r="O23" s="154">
        <f t="shared" si="2"/>
        <v>0.10610932475884244</v>
      </c>
      <c r="P23" s="154">
        <f t="shared" si="2"/>
        <v>6.6252587991718431E-2</v>
      </c>
      <c r="Q23" s="154">
        <f t="shared" si="2"/>
        <v>9.4874292483875397E-2</v>
      </c>
      <c r="R23" s="154">
        <f t="shared" si="2"/>
        <v>3.0235076372686104E-2</v>
      </c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F23" s="198"/>
      <c r="AG23" s="198"/>
      <c r="AH23" s="198"/>
      <c r="AI23" s="198"/>
      <c r="AJ23" s="198"/>
      <c r="AK23" s="198"/>
      <c r="AL23" s="198"/>
      <c r="AM23" s="198"/>
      <c r="AN23" s="198"/>
      <c r="AO23" s="198"/>
    </row>
    <row r="24" spans="2:41" x14ac:dyDescent="0.3">
      <c r="B24" s="4">
        <v>45536</v>
      </c>
      <c r="C24" s="1"/>
      <c r="D24" s="1"/>
      <c r="E24" s="143">
        <v>252</v>
      </c>
      <c r="F24" s="143">
        <v>229</v>
      </c>
      <c r="G24" s="144">
        <v>248.125</v>
      </c>
      <c r="H24" s="144">
        <v>388.75</v>
      </c>
      <c r="I24" s="144">
        <v>301.875</v>
      </c>
      <c r="J24" s="144">
        <v>2.3740625</v>
      </c>
      <c r="K24" s="144">
        <v>73.057619047619056</v>
      </c>
      <c r="L24" s="154">
        <f t="shared" si="2"/>
        <v>-9.0252707581227443E-2</v>
      </c>
      <c r="M24" s="154">
        <f t="shared" si="2"/>
        <v>-8.4000000000000005E-2</v>
      </c>
      <c r="N24" s="154">
        <f t="shared" si="2"/>
        <v>3.8179916317991634E-2</v>
      </c>
      <c r="O24" s="154">
        <f t="shared" si="2"/>
        <v>0.1251808972503618</v>
      </c>
      <c r="P24" s="154">
        <f t="shared" si="2"/>
        <v>-3.7128712871287127E-3</v>
      </c>
      <c r="Q24" s="154">
        <f t="shared" si="2"/>
        <v>0.14240876369025887</v>
      </c>
      <c r="R24" s="154">
        <f t="shared" si="2"/>
        <v>-7.5438119288534181E-2</v>
      </c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</row>
    <row r="25" spans="2:41" x14ac:dyDescent="0.3">
      <c r="B25" s="4">
        <v>45505</v>
      </c>
      <c r="C25" s="1"/>
      <c r="D25" s="1"/>
      <c r="E25" s="143">
        <v>277</v>
      </c>
      <c r="F25" s="143">
        <v>250</v>
      </c>
      <c r="G25" s="144">
        <v>239</v>
      </c>
      <c r="H25" s="144">
        <v>345.5</v>
      </c>
      <c r="I25" s="144">
        <v>303</v>
      </c>
      <c r="J25" s="144">
        <v>2.0781199999999993</v>
      </c>
      <c r="K25" s="144">
        <v>79.018636363636361</v>
      </c>
      <c r="L25" s="154">
        <f t="shared" si="2"/>
        <v>1.8382352941176471E-2</v>
      </c>
      <c r="M25" s="154">
        <f t="shared" si="2"/>
        <v>-3.1007751937984496E-2</v>
      </c>
      <c r="N25" s="154">
        <f t="shared" si="2"/>
        <v>7.415730337078652E-2</v>
      </c>
      <c r="O25" s="154">
        <f t="shared" si="2"/>
        <v>0.13278688524590163</v>
      </c>
      <c r="P25" s="154">
        <f t="shared" si="2"/>
        <v>-1.862348178137652E-2</v>
      </c>
      <c r="Q25" s="154">
        <f t="shared" si="2"/>
        <v>-7.5044787412789887E-2</v>
      </c>
      <c r="R25" s="154">
        <f t="shared" si="2"/>
        <v>-5.9846964304525074E-2</v>
      </c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F25" s="198"/>
      <c r="AG25" s="198"/>
      <c r="AH25" s="198"/>
      <c r="AI25" s="198"/>
      <c r="AJ25" s="198"/>
      <c r="AK25" s="198"/>
      <c r="AL25" s="198"/>
      <c r="AM25" s="198"/>
      <c r="AN25" s="198"/>
      <c r="AO25" s="198"/>
    </row>
    <row r="26" spans="2:41" x14ac:dyDescent="0.3">
      <c r="B26" s="4">
        <v>45474</v>
      </c>
      <c r="C26" s="1"/>
      <c r="D26" s="1"/>
      <c r="E26" s="143">
        <v>272</v>
      </c>
      <c r="F26" s="143">
        <v>258</v>
      </c>
      <c r="G26" s="144">
        <v>222.5</v>
      </c>
      <c r="H26" s="144">
        <v>305</v>
      </c>
      <c r="I26" s="144">
        <v>308.75</v>
      </c>
      <c r="J26" s="144">
        <v>2.2467249999999996</v>
      </c>
      <c r="K26" s="144">
        <v>84.048695652173905</v>
      </c>
      <c r="L26" s="154">
        <f t="shared" si="2"/>
        <v>7.4074074074074077E-3</v>
      </c>
      <c r="M26" s="154">
        <f t="shared" si="2"/>
        <v>0.12173913043478261</v>
      </c>
      <c r="N26" s="154">
        <f t="shared" si="2"/>
        <v>9.5384615384615387E-2</v>
      </c>
      <c r="O26" s="154">
        <f t="shared" si="2"/>
        <v>4.7210300429184553E-2</v>
      </c>
      <c r="P26" s="154">
        <f t="shared" si="2"/>
        <v>4.6610169491525424E-2</v>
      </c>
      <c r="Q26" s="154">
        <f t="shared" si="2"/>
        <v>-0.19999465885672835</v>
      </c>
      <c r="R26" s="154">
        <f t="shared" si="2"/>
        <v>1.3642423519448856E-2</v>
      </c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F26" s="198"/>
      <c r="AG26" s="198"/>
      <c r="AH26" s="198"/>
      <c r="AI26" s="198"/>
      <c r="AJ26" s="198"/>
      <c r="AK26" s="198"/>
      <c r="AL26" s="198"/>
      <c r="AM26" s="198"/>
      <c r="AN26" s="198"/>
      <c r="AO26" s="198"/>
    </row>
    <row r="27" spans="2:41" x14ac:dyDescent="0.3">
      <c r="B27" s="4">
        <v>45444</v>
      </c>
      <c r="C27" s="1"/>
      <c r="D27" s="1"/>
      <c r="E27" s="143">
        <v>270</v>
      </c>
      <c r="F27" s="143">
        <v>230</v>
      </c>
      <c r="G27" s="144">
        <v>203.125</v>
      </c>
      <c r="H27" s="144">
        <v>291.25</v>
      </c>
      <c r="I27" s="144">
        <v>295</v>
      </c>
      <c r="J27" s="144">
        <v>2.8083874999999998</v>
      </c>
      <c r="K27" s="144">
        <v>82.917500000000004</v>
      </c>
      <c r="L27" s="154">
        <f t="shared" si="2"/>
        <v>-0.1</v>
      </c>
      <c r="M27" s="154">
        <f t="shared" si="2"/>
        <v>-0.11538461538461539</v>
      </c>
      <c r="N27" s="154">
        <f t="shared" si="2"/>
        <v>0.11301369863013698</v>
      </c>
      <c r="O27" s="154">
        <f t="shared" si="2"/>
        <v>4.954954954954955E-2</v>
      </c>
      <c r="P27" s="154">
        <f t="shared" si="2"/>
        <v>0.1752988047808765</v>
      </c>
      <c r="Q27" s="154">
        <f t="shared" si="2"/>
        <v>0.17451695872192718</v>
      </c>
      <c r="R27" s="154">
        <f t="shared" si="2"/>
        <v>-1.642463774185392E-3</v>
      </c>
    </row>
    <row r="28" spans="2:41" x14ac:dyDescent="0.3">
      <c r="B28" s="4">
        <v>45413</v>
      </c>
      <c r="C28" s="1"/>
      <c r="D28" s="1"/>
      <c r="E28" s="143">
        <v>300</v>
      </c>
      <c r="F28" s="143">
        <v>260</v>
      </c>
      <c r="G28" s="144">
        <v>182.5</v>
      </c>
      <c r="H28" s="144">
        <v>277.5</v>
      </c>
      <c r="I28" s="144">
        <v>251</v>
      </c>
      <c r="J28" s="144">
        <v>2.3910999999999998</v>
      </c>
      <c r="K28" s="144">
        <v>83.053913043478261</v>
      </c>
      <c r="L28" s="154">
        <f t="shared" si="2"/>
        <v>-9.0909090909090912E-2</v>
      </c>
      <c r="M28" s="154">
        <f t="shared" si="2"/>
        <v>-0.13333333333333333</v>
      </c>
      <c r="N28" s="154">
        <f t="shared" si="2"/>
        <v>-0.11246200607902736</v>
      </c>
      <c r="O28" s="154">
        <f t="shared" si="2"/>
        <v>4.2743071864725223E-2</v>
      </c>
      <c r="P28" s="154">
        <f t="shared" si="2"/>
        <v>-6.1682242990654203E-2</v>
      </c>
      <c r="Q28" s="154">
        <f t="shared" si="2"/>
        <v>0.35143842197479225</v>
      </c>
      <c r="R28" s="154">
        <f t="shared" si="2"/>
        <v>-6.6542991378268634E-2</v>
      </c>
      <c r="U28" s="198" t="s">
        <v>78</v>
      </c>
      <c r="V28" s="198"/>
      <c r="W28" s="198" t="s">
        <v>79</v>
      </c>
      <c r="X28" s="198"/>
    </row>
    <row r="29" spans="2:41" ht="28.8" x14ac:dyDescent="0.3">
      <c r="B29" s="4">
        <v>45383</v>
      </c>
      <c r="C29" s="1"/>
      <c r="D29" s="1"/>
      <c r="E29" s="143">
        <v>330</v>
      </c>
      <c r="F29" s="143">
        <v>300</v>
      </c>
      <c r="G29" s="144">
        <v>205.625</v>
      </c>
      <c r="H29" s="144">
        <v>266.125</v>
      </c>
      <c r="I29" s="144">
        <v>267.5</v>
      </c>
      <c r="J29" s="144">
        <v>1.7692999999999999</v>
      </c>
      <c r="K29" s="144">
        <v>88.974545454545449</v>
      </c>
      <c r="L29" s="154">
        <f t="shared" si="2"/>
        <v>0</v>
      </c>
      <c r="M29" s="154">
        <f t="shared" si="2"/>
        <v>0</v>
      </c>
      <c r="N29" s="154">
        <f t="shared" si="2"/>
        <v>-0.10597826086956522</v>
      </c>
      <c r="O29" s="154">
        <f t="shared" si="2"/>
        <v>-0.12745901639344262</v>
      </c>
      <c r="P29" s="154">
        <f t="shared" si="2"/>
        <v>-0.11716171617161716</v>
      </c>
      <c r="Q29" s="154">
        <f t="shared" si="2"/>
        <v>1.3745409125026475E-2</v>
      </c>
      <c r="R29" s="154">
        <f t="shared" si="2"/>
        <v>4.7234573977801952E-2</v>
      </c>
      <c r="U29" s="130" t="s">
        <v>82</v>
      </c>
      <c r="V29" s="130" t="s">
        <v>83</v>
      </c>
      <c r="W29" s="130" t="s">
        <v>82</v>
      </c>
      <c r="X29" s="130" t="s">
        <v>83</v>
      </c>
    </row>
    <row r="30" spans="2:41" x14ac:dyDescent="0.3">
      <c r="B30" s="4">
        <v>45352</v>
      </c>
      <c r="C30" s="1"/>
      <c r="D30" s="1"/>
      <c r="E30" s="143">
        <v>330</v>
      </c>
      <c r="F30" s="143">
        <v>300</v>
      </c>
      <c r="G30" s="144">
        <v>230</v>
      </c>
      <c r="H30" s="144">
        <v>305</v>
      </c>
      <c r="I30" s="144">
        <v>303</v>
      </c>
      <c r="J30" s="144">
        <v>1.7453099999999999</v>
      </c>
      <c r="K30" s="144">
        <v>84.96142857142857</v>
      </c>
      <c r="L30" s="154">
        <f t="shared" si="2"/>
        <v>0</v>
      </c>
      <c r="M30" s="154">
        <f t="shared" si="2"/>
        <v>-3.2258064516129031E-2</v>
      </c>
      <c r="N30" s="154">
        <f t="shared" si="2"/>
        <v>9.8507462686567168E-2</v>
      </c>
      <c r="O30" s="154">
        <f t="shared" si="2"/>
        <v>-6.1538461538461542E-2</v>
      </c>
      <c r="P30" s="154">
        <f t="shared" si="2"/>
        <v>-1.3832384052074858E-2</v>
      </c>
      <c r="Q30" s="154">
        <f t="shared" si="2"/>
        <v>-6.2392221117945755E-2</v>
      </c>
      <c r="R30" s="154">
        <f t="shared" si="2"/>
        <v>3.8702691373980316E-2</v>
      </c>
      <c r="T30" t="s">
        <v>87</v>
      </c>
      <c r="U30" s="132">
        <f xml:space="preserve"> 0.280558110643*E7 + 0.15041224611*E8 - 0.188812610795*H7 + 0.259276330013*H8 + 0.249001945549*G7 - 0.0911542671384*G8 - 11.8844751787*J7 + 5.64643067713*J8 + 0.185696475006*I7 + 0.247343345212*I8 - 3.75210437468+20</f>
        <v>429.43102760978138</v>
      </c>
      <c r="V30" s="136">
        <f>U30*1.15</f>
        <v>493.84568175124855</v>
      </c>
      <c r="W30" s="132">
        <f xml:space="preserve"> 0.280558110643*E6+ 0.15041224611*E7 - 0.188812610795*H6 + 0.259276330013*H7 + 0.249001945549*G6 - 0.0911542671384*G7 - 11.8844751787*J6 + 5.64643067713*J7 + 0.185696475006*I6 + 0.247343345212*I7 - 3.75210437468+20</f>
        <v>494.67004322263546</v>
      </c>
      <c r="X30" s="142">
        <f>W30*1.15</f>
        <v>568.87054970603072</v>
      </c>
      <c r="Y30" s="132">
        <f xml:space="preserve"> 0.280558110643*G6+ 0.15041224611*G7 - 0.188812610795*J6 + 0.259276330013*J7 + 0.249001945549*I6 - 0.0911542671384*I7 - 11.8844751787*L6 + 5.64643067713*L7 + 0.185696475006*K6 + 0.247343345212*K7 - 3.75210437468+20</f>
        <v>320.3705149431089</v>
      </c>
      <c r="Z30" s="142">
        <f>Y30*1.15</f>
        <v>368.42609218457523</v>
      </c>
      <c r="AA30" s="132">
        <f xml:space="preserve"> 0.280558110643*E4+ 0.15041224611*E5 - 0.188812610795*H4 + 0.259276330013*H5 + 0.249001945549*G4 - 0.0911542671384*G5 - 11.8844751787*J4 + 5.64643067713*J5 + 0.185696475006*I4 + 0.247343345212*I5 - 3.75210437468+20</f>
        <v>691.86779541662952</v>
      </c>
      <c r="AB30" s="130"/>
      <c r="AC30" s="130"/>
      <c r="AD30" s="130"/>
      <c r="AE30" s="130"/>
      <c r="AG30" s="130"/>
      <c r="AH30" s="130"/>
      <c r="AI30" s="130"/>
      <c r="AJ30" s="130"/>
      <c r="AK30" s="130"/>
      <c r="AL30" s="130"/>
      <c r="AM30" s="130"/>
      <c r="AN30" s="130"/>
      <c r="AO30" s="130"/>
    </row>
    <row r="31" spans="2:41" x14ac:dyDescent="0.3">
      <c r="B31" s="4">
        <v>45323</v>
      </c>
      <c r="C31" s="1"/>
      <c r="D31" s="1"/>
      <c r="E31" s="143">
        <v>330</v>
      </c>
      <c r="F31" s="143">
        <v>310</v>
      </c>
      <c r="G31" s="144">
        <v>209.375</v>
      </c>
      <c r="H31" s="144">
        <v>325</v>
      </c>
      <c r="I31" s="144">
        <v>307.25</v>
      </c>
      <c r="J31" s="144">
        <v>1.86145</v>
      </c>
      <c r="K31" s="144">
        <v>81.795714285714297</v>
      </c>
      <c r="L31" s="154">
        <f t="shared" si="2"/>
        <v>0</v>
      </c>
      <c r="M31" s="154">
        <f t="shared" si="2"/>
        <v>0</v>
      </c>
      <c r="N31" s="154">
        <f t="shared" si="2"/>
        <v>0.15120274914089346</v>
      </c>
      <c r="O31" s="154">
        <f t="shared" si="2"/>
        <v>-0.23529411764705882</v>
      </c>
      <c r="P31" s="154">
        <f t="shared" si="2"/>
        <v>0.13796296296296295</v>
      </c>
      <c r="Q31" s="154">
        <f t="shared" si="2"/>
        <v>-0.3331960166212925</v>
      </c>
      <c r="R31" s="154">
        <f t="shared" si="2"/>
        <v>3.3949112447406109E-2</v>
      </c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42"/>
      <c r="AG31" s="130"/>
      <c r="AH31" s="130"/>
      <c r="AI31" s="130"/>
      <c r="AJ31" s="130"/>
      <c r="AK31" s="130"/>
      <c r="AL31" s="130"/>
      <c r="AM31" s="130"/>
      <c r="AN31" s="130"/>
      <c r="AO31" s="130"/>
    </row>
    <row r="32" spans="2:41" x14ac:dyDescent="0.3">
      <c r="B32" s="4">
        <v>45292</v>
      </c>
      <c r="C32" s="1"/>
      <c r="D32" s="1"/>
      <c r="E32" s="143">
        <v>330</v>
      </c>
      <c r="F32" s="143">
        <v>310</v>
      </c>
      <c r="G32" s="144">
        <v>181.875</v>
      </c>
      <c r="H32" s="144">
        <v>425</v>
      </c>
      <c r="I32" s="144">
        <v>270</v>
      </c>
      <c r="J32" s="144">
        <v>2.7916000000000003</v>
      </c>
      <c r="K32" s="144">
        <v>79.11</v>
      </c>
      <c r="L32" s="154">
        <f t="shared" si="2"/>
        <v>0</v>
      </c>
      <c r="M32" s="154">
        <f t="shared" si="2"/>
        <v>3.3333333333333333E-2</v>
      </c>
      <c r="N32" s="154">
        <f t="shared" si="2"/>
        <v>3.0453257790368272E-2</v>
      </c>
      <c r="O32" s="154">
        <f t="shared" si="2"/>
        <v>-8.2073434125269976E-2</v>
      </c>
      <c r="P32" s="154">
        <f t="shared" si="2"/>
        <v>-4.4247787610619468E-2</v>
      </c>
      <c r="Q32" s="154">
        <f t="shared" si="2"/>
        <v>8.2972549384727604E-2</v>
      </c>
      <c r="R32" s="154">
        <f t="shared" si="2"/>
        <v>2.0235083151145992E-2</v>
      </c>
      <c r="U32" s="131">
        <f>0.128313602811*E7 - 0.463209414397*E8 + 0.379422553201*F7 + 0.600579570329*F8 + 0.515891500331*G7 - 0.0731750301725*G8 - 0.0618573337801*H7 + 0.179051366468*H8 + 0.173303170283*I7 - 0.143779748569*I8 - 9.81173830345*J7 + 1.28656399894*J8 + 3.13148084685</f>
        <v>427.52884457559725</v>
      </c>
      <c r="V32" s="136">
        <f>U32*1.3</f>
        <v>555.7874979482765</v>
      </c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</row>
    <row r="33" spans="2:41" x14ac:dyDescent="0.3">
      <c r="B33" s="4">
        <v>45261</v>
      </c>
      <c r="C33" s="1"/>
      <c r="D33" s="1"/>
      <c r="E33" s="143">
        <v>330</v>
      </c>
      <c r="F33" s="143">
        <v>300</v>
      </c>
      <c r="G33" s="144">
        <v>176.5</v>
      </c>
      <c r="H33" s="144">
        <v>463</v>
      </c>
      <c r="I33" s="144">
        <v>282.5</v>
      </c>
      <c r="J33" s="144">
        <v>2.5777200000000002</v>
      </c>
      <c r="K33" s="144">
        <v>77.540952380952376</v>
      </c>
      <c r="L33" s="154">
        <f t="shared" si="2"/>
        <v>0.17857142857142858</v>
      </c>
      <c r="M33" s="154">
        <f t="shared" si="2"/>
        <v>0</v>
      </c>
      <c r="N33" s="154">
        <f t="shared" si="2"/>
        <v>-0.10178117048346055</v>
      </c>
      <c r="O33" s="154">
        <f t="shared" si="2"/>
        <v>-0.15818181818181817</v>
      </c>
      <c r="P33" s="154">
        <f t="shared" si="2"/>
        <v>-0.17367458866544791</v>
      </c>
      <c r="Q33" s="154">
        <f t="shared" si="2"/>
        <v>-0.17981449957840809</v>
      </c>
      <c r="R33" s="154">
        <f t="shared" si="2"/>
        <v>-5.6522895646837976E-2</v>
      </c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</row>
    <row r="34" spans="2:41" x14ac:dyDescent="0.3">
      <c r="B34" s="4">
        <v>45231</v>
      </c>
      <c r="C34" s="1"/>
      <c r="D34" s="1"/>
      <c r="E34" s="143">
        <v>280</v>
      </c>
      <c r="F34" s="143">
        <v>300</v>
      </c>
      <c r="G34" s="144">
        <v>196.5</v>
      </c>
      <c r="H34" s="144">
        <v>550</v>
      </c>
      <c r="I34" s="144">
        <v>341.875</v>
      </c>
      <c r="J34" s="144">
        <v>3.1428500000000001</v>
      </c>
      <c r="K34" s="144">
        <v>82.186363636363637</v>
      </c>
      <c r="L34" s="154">
        <f t="shared" si="2"/>
        <v>0</v>
      </c>
      <c r="M34" s="154">
        <f t="shared" si="2"/>
        <v>0.2</v>
      </c>
      <c r="N34" s="154">
        <f t="shared" si="2"/>
        <v>-0.10934844192634562</v>
      </c>
      <c r="O34" s="154">
        <f t="shared" si="2"/>
        <v>0</v>
      </c>
      <c r="P34" s="154">
        <f t="shared" si="2"/>
        <v>-4.0350877192982457E-2</v>
      </c>
      <c r="Q34" s="154">
        <f t="shared" si="2"/>
        <v>8.0506775719670024E-3</v>
      </c>
      <c r="R34" s="154">
        <f t="shared" si="2"/>
        <v>-7.601502414594874E-2</v>
      </c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</row>
    <row r="35" spans="2:41" x14ac:dyDescent="0.3">
      <c r="B35" s="4">
        <v>45200</v>
      </c>
      <c r="C35" s="1"/>
      <c r="D35" s="1"/>
      <c r="E35" s="143">
        <v>280</v>
      </c>
      <c r="F35" s="143">
        <v>250</v>
      </c>
      <c r="G35" s="144">
        <v>220.625</v>
      </c>
      <c r="H35" s="144">
        <v>550</v>
      </c>
      <c r="I35" s="144">
        <v>356.25</v>
      </c>
      <c r="J35" s="144">
        <v>3.11775</v>
      </c>
      <c r="K35" s="144">
        <v>88.947727272727263</v>
      </c>
      <c r="L35" s="154">
        <f t="shared" si="2"/>
        <v>0</v>
      </c>
      <c r="M35" s="154">
        <f t="shared" si="2"/>
        <v>0</v>
      </c>
      <c r="N35" s="154">
        <f t="shared" si="2"/>
        <v>-0.13818359375</v>
      </c>
      <c r="O35" s="154">
        <f t="shared" si="2"/>
        <v>0.22767857142857142</v>
      </c>
      <c r="P35" s="154">
        <f t="shared" si="2"/>
        <v>2.0481237467774211E-2</v>
      </c>
      <c r="Q35" s="154">
        <f t="shared" si="2"/>
        <v>0.16020526636995577</v>
      </c>
      <c r="R35" s="154">
        <f t="shared" si="2"/>
        <v>-4.0201489755478617E-2</v>
      </c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</row>
    <row r="36" spans="2:41" x14ac:dyDescent="0.3">
      <c r="B36" s="4">
        <v>45170</v>
      </c>
      <c r="C36" s="1"/>
      <c r="D36" s="1"/>
      <c r="E36" s="143">
        <v>280</v>
      </c>
      <c r="F36" s="143">
        <v>250</v>
      </c>
      <c r="G36" s="144">
        <v>256</v>
      </c>
      <c r="H36" s="144">
        <v>448</v>
      </c>
      <c r="I36" s="144">
        <v>349.1</v>
      </c>
      <c r="J36" s="144">
        <v>2.6872400000000001</v>
      </c>
      <c r="K36" s="144">
        <v>92.673333333333318</v>
      </c>
      <c r="L36" s="154">
        <f t="shared" si="2"/>
        <v>0</v>
      </c>
      <c r="M36" s="154">
        <f t="shared" si="2"/>
        <v>0</v>
      </c>
      <c r="N36" s="154">
        <f t="shared" si="2"/>
        <v>0.1838150289017341</v>
      </c>
      <c r="O36" s="154">
        <f t="shared" si="2"/>
        <v>0.34232209737827718</v>
      </c>
      <c r="P36" s="154">
        <f t="shared" si="2"/>
        <v>-2.3496503496503434E-2</v>
      </c>
      <c r="Q36" s="154">
        <f t="shared" si="2"/>
        <v>1.8414719648305142E-2</v>
      </c>
      <c r="R36" s="154">
        <f t="shared" si="2"/>
        <v>8.8120532075465108E-2</v>
      </c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</row>
    <row r="37" spans="2:41" x14ac:dyDescent="0.3">
      <c r="B37" s="4">
        <v>45139</v>
      </c>
      <c r="C37" s="1"/>
      <c r="D37" s="1"/>
      <c r="E37" s="143">
        <v>280</v>
      </c>
      <c r="F37" s="143">
        <v>250</v>
      </c>
      <c r="G37" s="144">
        <v>216.25</v>
      </c>
      <c r="H37" s="144">
        <v>333.75</v>
      </c>
      <c r="I37" s="144">
        <v>357.5</v>
      </c>
      <c r="J37" s="144">
        <v>2.6386499999999997</v>
      </c>
      <c r="K37" s="144">
        <v>85.168260869565216</v>
      </c>
      <c r="L37" s="154">
        <f t="shared" si="2"/>
        <v>-0.15151515151515152</v>
      </c>
      <c r="M37" s="154">
        <f t="shared" si="2"/>
        <v>-0.16666666666666666</v>
      </c>
      <c r="N37" s="154">
        <f t="shared" si="2"/>
        <v>0.44769874476987448</v>
      </c>
      <c r="O37" s="154">
        <f t="shared" si="2"/>
        <v>0.29611650485436891</v>
      </c>
      <c r="P37" s="154">
        <f t="shared" si="2"/>
        <v>0.16925592804578904</v>
      </c>
      <c r="Q37" s="154">
        <f t="shared" si="2"/>
        <v>6.9686411149814953E-4</v>
      </c>
      <c r="R37" s="154">
        <f t="shared" si="2"/>
        <v>6.3154080604931148E-2</v>
      </c>
    </row>
    <row r="38" spans="2:41" x14ac:dyDescent="0.3">
      <c r="B38" s="4">
        <v>45108</v>
      </c>
      <c r="C38" s="1"/>
      <c r="D38" s="1"/>
      <c r="E38" s="143">
        <v>330</v>
      </c>
      <c r="F38" s="143">
        <v>300</v>
      </c>
      <c r="G38" s="144">
        <v>149.375</v>
      </c>
      <c r="H38" s="144">
        <v>257.5</v>
      </c>
      <c r="I38" s="144">
        <v>305.75</v>
      </c>
      <c r="J38" s="144">
        <v>2.6368125</v>
      </c>
      <c r="K38" s="144">
        <v>80.109047619047615</v>
      </c>
      <c r="L38" s="154">
        <f t="shared" si="2"/>
        <v>0</v>
      </c>
      <c r="M38" s="154">
        <f t="shared" si="2"/>
        <v>0</v>
      </c>
      <c r="N38" s="154">
        <f t="shared" si="2"/>
        <v>9.432234432234432E-2</v>
      </c>
      <c r="O38" s="154">
        <f t="shared" si="2"/>
        <v>0.25</v>
      </c>
      <c r="P38" s="154">
        <f t="shared" si="2"/>
        <v>0.20326643053915783</v>
      </c>
      <c r="Q38" s="154">
        <f t="shared" si="2"/>
        <v>7.3668812528248362E-2</v>
      </c>
      <c r="R38" s="154">
        <f t="shared" si="2"/>
        <v>6.8476793851918918E-2</v>
      </c>
    </row>
    <row r="39" spans="2:41" x14ac:dyDescent="0.3">
      <c r="B39" s="4">
        <v>45078</v>
      </c>
      <c r="C39" s="1"/>
      <c r="D39" s="1"/>
      <c r="E39" s="143">
        <v>330</v>
      </c>
      <c r="F39" s="143">
        <v>300</v>
      </c>
      <c r="G39" s="144">
        <v>136.5</v>
      </c>
      <c r="H39" s="144">
        <v>206</v>
      </c>
      <c r="I39" s="144">
        <v>254.1</v>
      </c>
      <c r="J39" s="144">
        <v>2.4558900000000001</v>
      </c>
      <c r="K39" s="144">
        <v>74.974999999999994</v>
      </c>
      <c r="L39" s="154">
        <f t="shared" si="2"/>
        <v>0</v>
      </c>
      <c r="M39" s="154">
        <f t="shared" si="2"/>
        <v>-0.34782608695652173</v>
      </c>
      <c r="N39" s="154">
        <f t="shared" si="2"/>
        <v>-0.22277580071174377</v>
      </c>
      <c r="O39" s="154">
        <f t="shared" si="2"/>
        <v>-0.14611398963730571</v>
      </c>
      <c r="P39" s="154">
        <f t="shared" si="2"/>
        <v>-0.1404651162790698</v>
      </c>
      <c r="Q39" s="154">
        <f t="shared" si="2"/>
        <v>6.7963993738041517E-2</v>
      </c>
      <c r="R39" s="154">
        <f t="shared" si="2"/>
        <v>-1.0196936040271267E-2</v>
      </c>
    </row>
    <row r="40" spans="2:41" x14ac:dyDescent="0.3">
      <c r="B40" s="4">
        <v>45047</v>
      </c>
      <c r="C40" s="1"/>
      <c r="D40" s="1"/>
      <c r="E40" s="143">
        <v>330</v>
      </c>
      <c r="F40" s="143">
        <v>460</v>
      </c>
      <c r="G40" s="144">
        <v>175.625</v>
      </c>
      <c r="H40" s="144">
        <v>241.25</v>
      </c>
      <c r="I40" s="144">
        <v>295.625</v>
      </c>
      <c r="J40" s="144">
        <v>2.2995999999999999</v>
      </c>
      <c r="K40" s="144">
        <v>75.747391304347829</v>
      </c>
      <c r="L40" s="154">
        <f t="shared" si="2"/>
        <v>-0.4</v>
      </c>
      <c r="M40" s="154">
        <f t="shared" si="2"/>
        <v>0</v>
      </c>
      <c r="N40" s="154">
        <f t="shared" si="2"/>
        <v>-0.14224664224664224</v>
      </c>
      <c r="O40" s="154">
        <f t="shared" si="2"/>
        <v>-0.10854503464203233</v>
      </c>
      <c r="P40" s="154">
        <f t="shared" si="2"/>
        <v>3.2751091703056769E-2</v>
      </c>
      <c r="Q40" s="154">
        <f t="shared" si="2"/>
        <v>5.1029502502342394E-2</v>
      </c>
      <c r="R40" s="154">
        <f t="shared" si="2"/>
        <v>-9.3236553050806498E-2</v>
      </c>
    </row>
    <row r="41" spans="2:41" x14ac:dyDescent="0.3">
      <c r="B41" s="4">
        <v>45017</v>
      </c>
      <c r="C41" s="1"/>
      <c r="D41" s="1"/>
      <c r="E41" s="143">
        <v>550</v>
      </c>
      <c r="F41" s="143">
        <v>460</v>
      </c>
      <c r="G41" s="144">
        <v>204.75</v>
      </c>
      <c r="H41" s="144">
        <v>270.625</v>
      </c>
      <c r="I41" s="144">
        <v>286.25</v>
      </c>
      <c r="J41" s="144">
        <v>2.1879499999999998</v>
      </c>
      <c r="K41" s="144">
        <v>83.536000000000001</v>
      </c>
      <c r="L41" s="154">
        <f t="shared" si="2"/>
        <v>0</v>
      </c>
      <c r="M41" s="154">
        <f t="shared" si="2"/>
        <v>0</v>
      </c>
      <c r="N41" s="154">
        <f t="shared" si="2"/>
        <v>-0.22059383326988957</v>
      </c>
      <c r="O41" s="154">
        <f t="shared" si="2"/>
        <v>-0.36843640606767797</v>
      </c>
      <c r="P41" s="154">
        <f t="shared" si="2"/>
        <v>-2.9661016949152543E-2</v>
      </c>
      <c r="Q41" s="154">
        <f t="shared" si="2"/>
        <v>-0.10119213894868297</v>
      </c>
      <c r="R41" s="154">
        <f t="shared" si="2"/>
        <v>5.3995282242580524E-2</v>
      </c>
    </row>
    <row r="42" spans="2:41" x14ac:dyDescent="0.3">
      <c r="B42" s="4">
        <v>44986</v>
      </c>
      <c r="C42" s="1"/>
      <c r="D42" s="1"/>
      <c r="E42" s="143">
        <v>550</v>
      </c>
      <c r="F42" s="143">
        <v>460</v>
      </c>
      <c r="G42" s="144">
        <v>262.7</v>
      </c>
      <c r="H42" s="144">
        <v>428.5</v>
      </c>
      <c r="I42" s="144">
        <v>295</v>
      </c>
      <c r="J42" s="144">
        <v>2.4342799999999998</v>
      </c>
      <c r="K42" s="144">
        <v>79.256521739130434</v>
      </c>
      <c r="L42" s="154">
        <f t="shared" si="2"/>
        <v>1.8518518518518517E-2</v>
      </c>
      <c r="M42" s="154">
        <f t="shared" si="2"/>
        <v>-0.08</v>
      </c>
      <c r="N42" s="154">
        <f t="shared" si="2"/>
        <v>-2.6135310472659913E-2</v>
      </c>
      <c r="O42" s="154">
        <f t="shared" si="2"/>
        <v>-0.35925233644859811</v>
      </c>
      <c r="P42" s="154">
        <f t="shared" si="2"/>
        <v>-9.2307692307692313E-2</v>
      </c>
      <c r="Q42" s="154">
        <f t="shared" si="2"/>
        <v>4.9042272126815006E-3</v>
      </c>
      <c r="R42" s="154">
        <f t="shared" si="2"/>
        <v>-5.2323896342564902E-2</v>
      </c>
    </row>
    <row r="43" spans="2:41" x14ac:dyDescent="0.3">
      <c r="B43" s="4">
        <v>44958</v>
      </c>
      <c r="C43" s="1"/>
      <c r="D43" s="1"/>
      <c r="E43" s="143">
        <v>540</v>
      </c>
      <c r="F43" s="143">
        <v>500</v>
      </c>
      <c r="G43" s="144">
        <v>269.75</v>
      </c>
      <c r="H43" s="144">
        <v>668.75</v>
      </c>
      <c r="I43" s="144">
        <v>325</v>
      </c>
      <c r="J43" s="144">
        <v>2.4224000000000001</v>
      </c>
      <c r="K43" s="144">
        <v>83.632499999999993</v>
      </c>
      <c r="L43" s="154">
        <f t="shared" si="2"/>
        <v>-1.8181818181818181E-2</v>
      </c>
      <c r="M43" s="154">
        <f t="shared" si="2"/>
        <v>0</v>
      </c>
      <c r="N43" s="154">
        <f t="shared" si="2"/>
        <v>-0.23745583038869258</v>
      </c>
      <c r="O43" s="154">
        <f t="shared" si="2"/>
        <v>-0.18569254185692541</v>
      </c>
      <c r="P43" s="154">
        <f t="shared" si="2"/>
        <v>-0.22388059701492538</v>
      </c>
      <c r="Q43" s="154">
        <f t="shared" si="2"/>
        <v>-0.31112343414523164</v>
      </c>
      <c r="R43" s="154">
        <f t="shared" si="2"/>
        <v>-5.3438209536166483E-3</v>
      </c>
    </row>
    <row r="44" spans="2:41" x14ac:dyDescent="0.3">
      <c r="B44" s="4">
        <v>44927</v>
      </c>
      <c r="C44" s="1"/>
      <c r="D44" s="1"/>
      <c r="E44" s="143">
        <v>550</v>
      </c>
      <c r="F44" s="143">
        <v>500</v>
      </c>
      <c r="G44" s="144">
        <v>353.75</v>
      </c>
      <c r="H44" s="144">
        <v>821.25</v>
      </c>
      <c r="I44" s="144">
        <v>418.75</v>
      </c>
      <c r="J44" s="144">
        <v>3.5164499999999999</v>
      </c>
      <c r="K44" s="144">
        <v>84.081818181818178</v>
      </c>
      <c r="L44" s="154">
        <f t="shared" si="2"/>
        <v>1.8518518518518517E-2</v>
      </c>
      <c r="M44" s="154">
        <f t="shared" si="2"/>
        <v>0</v>
      </c>
      <c r="N44" s="154">
        <f t="shared" si="2"/>
        <v>-8.968090581574889E-2</v>
      </c>
      <c r="O44" s="154">
        <f t="shared" si="2"/>
        <v>-8.1889323644494125E-2</v>
      </c>
      <c r="P44" s="154">
        <f t="shared" si="2"/>
        <v>-0.14801627670396744</v>
      </c>
      <c r="Q44" s="154">
        <f t="shared" si="2"/>
        <v>-0.40099548759984266</v>
      </c>
      <c r="R44" s="154">
        <f t="shared" si="2"/>
        <v>3.1638474794625969E-2</v>
      </c>
    </row>
    <row r="45" spans="2:41" x14ac:dyDescent="0.3">
      <c r="B45" s="4">
        <v>44896</v>
      </c>
      <c r="C45" s="1"/>
      <c r="D45" s="1"/>
      <c r="E45" s="143">
        <v>540</v>
      </c>
      <c r="F45" s="143">
        <v>500</v>
      </c>
      <c r="G45" s="144">
        <v>388.6</v>
      </c>
      <c r="H45" s="144">
        <v>894.5</v>
      </c>
      <c r="I45" s="144">
        <v>491.5</v>
      </c>
      <c r="J45" s="144">
        <v>5.8704900000000002</v>
      </c>
      <c r="K45" s="144">
        <v>81.503181818181815</v>
      </c>
      <c r="L45" s="154">
        <f t="shared" si="2"/>
        <v>-1.8181818181818181E-2</v>
      </c>
      <c r="M45" s="154">
        <f t="shared" si="2"/>
        <v>0</v>
      </c>
      <c r="N45" s="154">
        <f t="shared" si="2"/>
        <v>-5.5022392834292444E-3</v>
      </c>
      <c r="O45" s="154">
        <f t="shared" si="2"/>
        <v>-0.13102610807528842</v>
      </c>
      <c r="P45" s="154">
        <f t="shared" si="2"/>
        <v>-4.7941888619854718E-2</v>
      </c>
      <c r="Q45" s="154">
        <f t="shared" si="2"/>
        <v>-7.8956420781370495E-2</v>
      </c>
      <c r="R45" s="154">
        <f t="shared" si="2"/>
        <v>-0.10375627920925701</v>
      </c>
    </row>
    <row r="46" spans="2:41" x14ac:dyDescent="0.3">
      <c r="B46" s="4">
        <v>44866</v>
      </c>
      <c r="C46" s="1"/>
      <c r="D46" s="1"/>
      <c r="E46" s="143">
        <v>550</v>
      </c>
      <c r="F46" s="143">
        <v>500</v>
      </c>
      <c r="G46" s="144">
        <v>390.75</v>
      </c>
      <c r="H46" s="144">
        <v>1029.375</v>
      </c>
      <c r="I46" s="144">
        <v>516.25</v>
      </c>
      <c r="J46" s="144">
        <v>6.3737375000000007</v>
      </c>
      <c r="K46" s="144">
        <v>90.938636363636363</v>
      </c>
      <c r="L46" s="154">
        <f t="shared" si="2"/>
        <v>3.7735849056603772E-2</v>
      </c>
      <c r="M46" s="154">
        <f t="shared" si="2"/>
        <v>0</v>
      </c>
      <c r="N46" s="154">
        <f t="shared" si="2"/>
        <v>2.7951331798750412E-2</v>
      </c>
      <c r="O46" s="154">
        <f t="shared" si="2"/>
        <v>-1.9642857142857142E-2</v>
      </c>
      <c r="P46" s="154">
        <f t="shared" si="2"/>
        <v>-2.9377203290246769E-2</v>
      </c>
      <c r="Q46" s="154">
        <f t="shared" si="2"/>
        <v>4.9796999044701563E-2</v>
      </c>
      <c r="R46" s="154">
        <f t="shared" si="2"/>
        <v>-2.9662584721042509E-2</v>
      </c>
    </row>
    <row r="47" spans="2:41" x14ac:dyDescent="0.3">
      <c r="B47" s="4">
        <v>44835</v>
      </c>
      <c r="C47" s="1"/>
      <c r="D47" s="1"/>
      <c r="E47" s="143">
        <v>530</v>
      </c>
      <c r="F47" s="143">
        <v>500</v>
      </c>
      <c r="G47" s="144">
        <v>380.125</v>
      </c>
      <c r="H47" s="144">
        <v>1050</v>
      </c>
      <c r="I47" s="144">
        <v>531.875</v>
      </c>
      <c r="J47" s="144">
        <v>6.0713999999999997</v>
      </c>
      <c r="K47" s="144">
        <v>93.718571428571437</v>
      </c>
      <c r="L47" s="154">
        <f t="shared" si="2"/>
        <v>0</v>
      </c>
      <c r="M47" s="154">
        <f t="shared" si="2"/>
        <v>0</v>
      </c>
      <c r="N47" s="154">
        <f t="shared" si="2"/>
        <v>0.17649334571340133</v>
      </c>
      <c r="O47" s="154">
        <f t="shared" si="2"/>
        <v>-3.0023094688221709E-2</v>
      </c>
      <c r="P47" s="154">
        <f t="shared" si="2"/>
        <v>-7.7566770724939338E-2</v>
      </c>
      <c r="Q47" s="154">
        <f t="shared" si="2"/>
        <v>-0.23497198904258731</v>
      </c>
      <c r="R47" s="154">
        <f t="shared" si="2"/>
        <v>3.4327911100026885E-2</v>
      </c>
    </row>
    <row r="48" spans="2:41" x14ac:dyDescent="0.3">
      <c r="B48" s="4">
        <v>44805</v>
      </c>
      <c r="C48" s="1"/>
      <c r="D48" s="1"/>
      <c r="E48" s="143">
        <v>530</v>
      </c>
      <c r="F48" s="143">
        <v>500</v>
      </c>
      <c r="G48" s="144">
        <v>323.10000000000002</v>
      </c>
      <c r="H48" s="144">
        <v>1082.5</v>
      </c>
      <c r="I48" s="144">
        <v>576.6</v>
      </c>
      <c r="J48" s="144">
        <v>7.9361800000000002</v>
      </c>
      <c r="K48" s="144">
        <v>90.608181818181819</v>
      </c>
      <c r="L48" s="154">
        <f t="shared" si="2"/>
        <v>-3.6363636363636362E-2</v>
      </c>
      <c r="M48" s="154">
        <f t="shared" si="2"/>
        <v>0</v>
      </c>
      <c r="N48" s="154">
        <f t="shared" si="2"/>
        <v>-1.0034469551895756E-2</v>
      </c>
      <c r="O48" s="154">
        <f t="shared" si="2"/>
        <v>0.17027027027027028</v>
      </c>
      <c r="P48" s="154">
        <f t="shared" si="2"/>
        <v>0.12727272727272732</v>
      </c>
      <c r="Q48" s="154">
        <f t="shared" si="2"/>
        <v>-8.9918924807632736E-2</v>
      </c>
      <c r="R48" s="154">
        <f t="shared" si="2"/>
        <v>-7.2046726622622043E-2</v>
      </c>
    </row>
    <row r="49" spans="2:18" x14ac:dyDescent="0.3">
      <c r="B49" s="4">
        <v>44774</v>
      </c>
      <c r="C49" s="1"/>
      <c r="D49" s="1"/>
      <c r="E49" s="143">
        <v>550</v>
      </c>
      <c r="F49" s="143">
        <v>500</v>
      </c>
      <c r="G49" s="144">
        <v>326.375</v>
      </c>
      <c r="H49" s="144">
        <v>925</v>
      </c>
      <c r="I49" s="144">
        <v>511.5</v>
      </c>
      <c r="J49" s="144">
        <v>8.7202999999999999</v>
      </c>
      <c r="K49" s="144">
        <v>97.643043478260878</v>
      </c>
      <c r="L49" s="154" t="e">
        <f t="shared" si="2"/>
        <v>#DIV/0!</v>
      </c>
      <c r="M49" s="154" t="e">
        <f t="shared" si="2"/>
        <v>#DIV/0!</v>
      </c>
      <c r="N49" s="154" t="e">
        <f t="shared" si="2"/>
        <v>#DIV/0!</v>
      </c>
      <c r="O49" s="154" t="e">
        <f t="shared" si="2"/>
        <v>#DIV/0!</v>
      </c>
      <c r="P49" s="154" t="e">
        <f t="shared" si="2"/>
        <v>#DIV/0!</v>
      </c>
      <c r="Q49" s="154" t="e">
        <f t="shared" si="2"/>
        <v>#DIV/0!</v>
      </c>
      <c r="R49" s="154" t="e">
        <f t="shared" si="2"/>
        <v>#DIV/0!</v>
      </c>
    </row>
  </sheetData>
  <autoFilter ref="B2:B49" xr:uid="{1355C30C-2A74-4C52-9ADF-6FC9AD201434}">
    <sortState xmlns:xlrd2="http://schemas.microsoft.com/office/spreadsheetml/2017/richdata2" ref="B3:B49">
      <sortCondition descending="1" ref="B2:B49"/>
    </sortState>
  </autoFilter>
  <mergeCells count="11">
    <mergeCell ref="T6:AD12"/>
    <mergeCell ref="U14:V14"/>
    <mergeCell ref="W14:X14"/>
    <mergeCell ref="Y14:Z14"/>
    <mergeCell ref="AA14:AB14"/>
    <mergeCell ref="AC14:AD14"/>
    <mergeCell ref="AE14:AF14"/>
    <mergeCell ref="T20:AD26"/>
    <mergeCell ref="AF20:AO26"/>
    <mergeCell ref="U28:V28"/>
    <mergeCell ref="W28:X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AF5E-5617-41B2-B759-CE0D95661E59}">
  <dimension ref="A2:U63"/>
  <sheetViews>
    <sheetView workbookViewId="0">
      <pane xSplit="2" ySplit="2" topLeftCell="C51" activePane="bottomRight" state="frozen"/>
      <selection pane="topRight" activeCell="C1" sqref="C1"/>
      <selection pane="bottomLeft" activeCell="A2" sqref="A2"/>
      <selection pane="bottomRight" activeCell="H68" sqref="H68"/>
    </sheetView>
  </sheetViews>
  <sheetFormatPr defaultRowHeight="14.4" x14ac:dyDescent="0.3"/>
  <cols>
    <col min="3" max="3" width="12.6640625" style="131" bestFit="1" customWidth="1"/>
    <col min="4" max="4" width="16.88671875" style="131" bestFit="1" customWidth="1"/>
    <col min="5" max="5" width="9.33203125" style="131" customWidth="1"/>
    <col min="6" max="7" width="9.109375" style="131"/>
    <col min="8" max="8" width="6" style="131" bestFit="1" customWidth="1"/>
    <col min="9" max="10" width="9.109375" style="131"/>
    <col min="11" max="11" width="10.33203125" bestFit="1" customWidth="1"/>
  </cols>
  <sheetData>
    <row r="2" spans="1:11" s="130" customFormat="1" x14ac:dyDescent="0.3">
      <c r="A2" s="129" t="s">
        <v>1</v>
      </c>
      <c r="B2" s="129" t="s">
        <v>2</v>
      </c>
      <c r="C2" s="133" t="s">
        <v>5</v>
      </c>
      <c r="D2" s="133" t="s">
        <v>6</v>
      </c>
      <c r="E2" s="133" t="s">
        <v>72</v>
      </c>
      <c r="F2" s="134" t="s">
        <v>70</v>
      </c>
      <c r="G2" s="134" t="s">
        <v>4</v>
      </c>
      <c r="H2" s="132" t="s">
        <v>102</v>
      </c>
      <c r="I2" s="132" t="s">
        <v>103</v>
      </c>
      <c r="J2" s="132" t="s">
        <v>104</v>
      </c>
      <c r="K2" s="1" t="s">
        <v>105</v>
      </c>
    </row>
    <row r="3" spans="1:11" x14ac:dyDescent="0.3">
      <c r="A3" s="1">
        <v>2022</v>
      </c>
      <c r="B3" s="1">
        <v>8</v>
      </c>
      <c r="C3" s="135">
        <v>3.4</v>
      </c>
      <c r="D3" s="135">
        <v>69.7</v>
      </c>
      <c r="E3" s="135">
        <v>915</v>
      </c>
      <c r="F3" s="135">
        <v>500</v>
      </c>
      <c r="G3" s="135">
        <v>550</v>
      </c>
      <c r="H3" s="131">
        <v>6.3198913043478271</v>
      </c>
      <c r="I3" s="131">
        <v>89.16</v>
      </c>
      <c r="J3" s="131">
        <v>326.625</v>
      </c>
      <c r="K3" s="1">
        <v>652</v>
      </c>
    </row>
    <row r="4" spans="1:11" x14ac:dyDescent="0.3">
      <c r="A4" s="1">
        <v>2022</v>
      </c>
      <c r="B4" s="1">
        <v>9</v>
      </c>
      <c r="C4" s="135">
        <v>3.6</v>
      </c>
      <c r="D4" s="135">
        <v>75.7</v>
      </c>
      <c r="E4" s="135">
        <v>1076</v>
      </c>
      <c r="F4" s="135">
        <v>500</v>
      </c>
      <c r="G4" s="135">
        <v>530</v>
      </c>
      <c r="H4" s="131">
        <v>6.8103409090909111</v>
      </c>
      <c r="I4" s="131">
        <v>96.13</v>
      </c>
      <c r="J4" s="131">
        <v>329.4</v>
      </c>
      <c r="K4" s="1">
        <v>904</v>
      </c>
    </row>
    <row r="5" spans="1:11" x14ac:dyDescent="0.3">
      <c r="A5" s="1">
        <v>2022</v>
      </c>
      <c r="B5" s="1">
        <v>10</v>
      </c>
      <c r="C5" s="135">
        <v>3.7</v>
      </c>
      <c r="D5" s="135">
        <v>82.1</v>
      </c>
      <c r="E5" s="135">
        <v>885</v>
      </c>
      <c r="F5" s="135">
        <v>500</v>
      </c>
      <c r="G5" s="135">
        <v>530</v>
      </c>
      <c r="H5" s="131">
        <v>6.8549999999999995</v>
      </c>
      <c r="I5" s="131">
        <v>100.53</v>
      </c>
      <c r="J5" s="131">
        <v>387</v>
      </c>
      <c r="K5" s="1">
        <v>974</v>
      </c>
    </row>
    <row r="6" spans="1:11" x14ac:dyDescent="0.3">
      <c r="A6" s="1">
        <v>2022</v>
      </c>
      <c r="B6" s="1">
        <v>11</v>
      </c>
      <c r="C6" s="135">
        <v>3.6</v>
      </c>
      <c r="D6" s="135">
        <v>70.8</v>
      </c>
      <c r="E6" s="135">
        <v>772</v>
      </c>
      <c r="F6" s="135">
        <v>500</v>
      </c>
      <c r="G6" s="135">
        <v>550</v>
      </c>
      <c r="H6" s="131">
        <v>6.6788636363636353</v>
      </c>
      <c r="I6" s="131">
        <v>104.59</v>
      </c>
      <c r="J6" s="131">
        <v>397.83333333333331</v>
      </c>
      <c r="K6" s="1">
        <v>821</v>
      </c>
    </row>
    <row r="7" spans="1:11" x14ac:dyDescent="0.3">
      <c r="A7" s="1">
        <v>2022</v>
      </c>
      <c r="B7" s="1">
        <v>12</v>
      </c>
      <c r="C7" s="135">
        <v>3.5</v>
      </c>
      <c r="D7" s="135">
        <v>73.599999999999994</v>
      </c>
      <c r="E7" s="135">
        <v>518</v>
      </c>
      <c r="F7" s="135">
        <v>500</v>
      </c>
      <c r="G7" s="135">
        <v>540</v>
      </c>
      <c r="H7" s="131">
        <v>6.515568181818181</v>
      </c>
      <c r="I7" s="131">
        <v>114.38</v>
      </c>
      <c r="J7" s="131">
        <v>366</v>
      </c>
      <c r="K7" s="1">
        <v>936</v>
      </c>
    </row>
    <row r="8" spans="1:11" x14ac:dyDescent="0.3">
      <c r="A8" s="1">
        <v>2023</v>
      </c>
      <c r="B8" s="1">
        <v>1</v>
      </c>
      <c r="C8" s="135">
        <v>3.3</v>
      </c>
      <c r="D8" s="135">
        <v>96.2</v>
      </c>
      <c r="E8" s="135">
        <v>915</v>
      </c>
      <c r="F8" s="135">
        <v>500</v>
      </c>
      <c r="G8" s="135">
        <v>550</v>
      </c>
      <c r="H8" s="131">
        <v>6.7102272727272725</v>
      </c>
      <c r="I8" s="131">
        <v>107.76</v>
      </c>
      <c r="J8" s="131">
        <v>332.5</v>
      </c>
      <c r="K8" s="1">
        <v>779</v>
      </c>
    </row>
    <row r="9" spans="1:11" x14ac:dyDescent="0.3">
      <c r="A9" s="1">
        <v>2023</v>
      </c>
      <c r="B9" s="1">
        <v>2</v>
      </c>
      <c r="C9" s="135">
        <v>3.3</v>
      </c>
      <c r="D9" s="135">
        <v>94.3</v>
      </c>
      <c r="E9" s="135">
        <v>633</v>
      </c>
      <c r="F9" s="135">
        <v>500</v>
      </c>
      <c r="G9" s="135">
        <v>540</v>
      </c>
      <c r="H9" s="131">
        <v>6.7141250000000001</v>
      </c>
      <c r="I9" s="131">
        <v>101.31</v>
      </c>
      <c r="J9" s="131">
        <v>264.75</v>
      </c>
      <c r="K9" s="1">
        <v>849</v>
      </c>
    </row>
    <row r="10" spans="1:11" x14ac:dyDescent="0.3">
      <c r="A10" s="1">
        <v>2023</v>
      </c>
      <c r="B10" s="1">
        <v>3</v>
      </c>
      <c r="C10" s="135">
        <v>3.4</v>
      </c>
      <c r="D10" s="135">
        <v>81.900000000000006</v>
      </c>
      <c r="E10" s="135">
        <v>553</v>
      </c>
      <c r="F10" s="135">
        <v>460</v>
      </c>
      <c r="G10" s="135">
        <v>550</v>
      </c>
      <c r="H10" s="131">
        <v>6.3753260869565214</v>
      </c>
      <c r="I10" s="131">
        <v>90.09</v>
      </c>
      <c r="J10" s="131">
        <v>247.5</v>
      </c>
      <c r="K10" s="1">
        <v>551</v>
      </c>
    </row>
    <row r="11" spans="1:11" x14ac:dyDescent="0.3">
      <c r="A11" s="1">
        <v>2023</v>
      </c>
      <c r="B11" s="1">
        <v>4</v>
      </c>
      <c r="C11" s="135">
        <v>3.5</v>
      </c>
      <c r="D11" s="135">
        <v>79.400000000000006</v>
      </c>
      <c r="E11" s="135">
        <v>364</v>
      </c>
      <c r="F11" s="135">
        <v>460</v>
      </c>
      <c r="G11" s="135">
        <v>550</v>
      </c>
      <c r="H11" s="131">
        <v>6.5425000000000013</v>
      </c>
      <c r="I11" s="131">
        <v>79.91</v>
      </c>
      <c r="J11" s="131">
        <v>197.5</v>
      </c>
      <c r="K11" s="1">
        <v>588</v>
      </c>
    </row>
    <row r="12" spans="1:11" x14ac:dyDescent="0.3">
      <c r="A12" s="1">
        <v>2023</v>
      </c>
      <c r="B12" s="1">
        <v>5</v>
      </c>
      <c r="C12" s="135">
        <v>3.6</v>
      </c>
      <c r="D12" s="135">
        <v>90.7</v>
      </c>
      <c r="E12" s="135">
        <v>356</v>
      </c>
      <c r="F12" s="135">
        <v>460</v>
      </c>
      <c r="G12" s="135">
        <v>330</v>
      </c>
      <c r="H12" s="131">
        <v>6.088043478260869</v>
      </c>
      <c r="I12" s="131">
        <v>86.54</v>
      </c>
      <c r="J12" s="131">
        <v>166.875</v>
      </c>
      <c r="K12" s="1">
        <v>537</v>
      </c>
    </row>
    <row r="13" spans="1:11" x14ac:dyDescent="0.3">
      <c r="A13" s="1">
        <v>2023</v>
      </c>
      <c r="B13" s="1">
        <v>6</v>
      </c>
      <c r="C13" s="135">
        <v>3.6</v>
      </c>
      <c r="D13" s="135">
        <v>89.7</v>
      </c>
      <c r="E13" s="135">
        <v>257</v>
      </c>
      <c r="F13" s="135">
        <v>300</v>
      </c>
      <c r="G13" s="135">
        <v>330</v>
      </c>
      <c r="H13" s="131">
        <v>6.1626136363636368</v>
      </c>
      <c r="I13" s="131">
        <v>80.48</v>
      </c>
      <c r="J13" s="131">
        <v>132.5</v>
      </c>
      <c r="K13" s="1">
        <v>477</v>
      </c>
    </row>
    <row r="14" spans="1:11" x14ac:dyDescent="0.3">
      <c r="A14" s="1">
        <v>2023</v>
      </c>
      <c r="B14" s="1">
        <v>7</v>
      </c>
      <c r="C14" s="135">
        <v>3.5</v>
      </c>
      <c r="D14" s="135">
        <v>82.8</v>
      </c>
      <c r="E14" s="135">
        <v>252</v>
      </c>
      <c r="F14" s="135">
        <v>300</v>
      </c>
      <c r="G14" s="135">
        <v>330</v>
      </c>
      <c r="H14" s="131">
        <v>5.4927380952380958</v>
      </c>
      <c r="I14" s="131">
        <v>80.16</v>
      </c>
      <c r="J14" s="131">
        <v>165</v>
      </c>
      <c r="K14" s="1">
        <v>355</v>
      </c>
    </row>
    <row r="15" spans="1:11" x14ac:dyDescent="0.3">
      <c r="A15" s="1">
        <v>2023</v>
      </c>
      <c r="B15" s="1">
        <v>8</v>
      </c>
      <c r="C15" s="135">
        <v>3.4</v>
      </c>
      <c r="D15" s="135">
        <v>79.8</v>
      </c>
      <c r="E15" s="135">
        <v>245</v>
      </c>
      <c r="F15" s="135">
        <v>250</v>
      </c>
      <c r="G15" s="135">
        <v>280</v>
      </c>
      <c r="H15" s="131">
        <v>4.7579347826086966</v>
      </c>
      <c r="I15" s="131">
        <v>78.95</v>
      </c>
      <c r="J15" s="131">
        <v>230</v>
      </c>
      <c r="K15" s="1">
        <v>448</v>
      </c>
    </row>
    <row r="16" spans="1:11" ht="14.25" customHeight="1" x14ac:dyDescent="0.3">
      <c r="A16" s="1">
        <v>2023</v>
      </c>
      <c r="B16" s="1">
        <v>9</v>
      </c>
      <c r="C16" s="135">
        <v>3.4</v>
      </c>
      <c r="D16" s="135">
        <v>72.2</v>
      </c>
      <c r="E16" s="135">
        <v>274</v>
      </c>
      <c r="F16" s="135">
        <v>250</v>
      </c>
      <c r="G16" s="135">
        <v>280</v>
      </c>
      <c r="H16" s="131">
        <v>4.7332142857142863</v>
      </c>
      <c r="I16" s="131">
        <v>76.88</v>
      </c>
      <c r="J16" s="131">
        <v>250</v>
      </c>
      <c r="K16" s="1">
        <v>451</v>
      </c>
    </row>
    <row r="17" spans="1:11" x14ac:dyDescent="0.3">
      <c r="A17" s="1">
        <v>2023</v>
      </c>
      <c r="B17" s="1">
        <v>10</v>
      </c>
      <c r="C17" s="135">
        <v>3.3</v>
      </c>
      <c r="D17" s="135">
        <v>80</v>
      </c>
      <c r="E17" s="135">
        <v>371</v>
      </c>
      <c r="F17" s="135">
        <v>250</v>
      </c>
      <c r="G17" s="135">
        <v>280</v>
      </c>
      <c r="H17" s="131">
        <v>4.8854545454545448</v>
      </c>
      <c r="I17" s="131">
        <v>75.680000000000007</v>
      </c>
      <c r="J17" s="131">
        <v>217.5</v>
      </c>
      <c r="K17" s="1">
        <v>377</v>
      </c>
    </row>
    <row r="18" spans="1:11" x14ac:dyDescent="0.3">
      <c r="A18" s="1">
        <v>2023</v>
      </c>
      <c r="B18" s="1">
        <v>11</v>
      </c>
      <c r="C18" s="135">
        <v>3.3</v>
      </c>
      <c r="D18" s="135">
        <v>63.7</v>
      </c>
      <c r="E18" s="135">
        <v>392</v>
      </c>
      <c r="F18" s="135">
        <v>300</v>
      </c>
      <c r="G18" s="135">
        <v>280</v>
      </c>
      <c r="H18" s="131">
        <v>4.6815789473684211</v>
      </c>
      <c r="I18" s="131">
        <v>76.78</v>
      </c>
      <c r="J18" s="131">
        <v>188.83333333333334</v>
      </c>
      <c r="K18" s="1">
        <v>507</v>
      </c>
    </row>
    <row r="19" spans="1:11" x14ac:dyDescent="0.3">
      <c r="A19" s="1">
        <v>2023</v>
      </c>
      <c r="B19" s="1">
        <v>12</v>
      </c>
      <c r="C19" s="135">
        <v>3.2</v>
      </c>
      <c r="D19" s="135">
        <v>57.3</v>
      </c>
      <c r="E19" s="135">
        <v>424</v>
      </c>
      <c r="F19" s="135">
        <v>300</v>
      </c>
      <c r="G19" s="135">
        <v>330</v>
      </c>
      <c r="H19" s="131">
        <v>4.6895238095238101</v>
      </c>
      <c r="I19" s="131">
        <v>68.11</v>
      </c>
      <c r="J19" s="131">
        <v>176.25</v>
      </c>
      <c r="K19" s="1">
        <v>581</v>
      </c>
    </row>
    <row r="20" spans="1:11" x14ac:dyDescent="0.3">
      <c r="A20" s="1">
        <v>2024</v>
      </c>
      <c r="B20" s="1">
        <v>1</v>
      </c>
      <c r="C20" s="135">
        <v>3</v>
      </c>
      <c r="D20" s="135">
        <v>71.5</v>
      </c>
      <c r="E20" s="135">
        <v>373</v>
      </c>
      <c r="F20" s="135">
        <v>310</v>
      </c>
      <c r="G20" s="135">
        <v>330</v>
      </c>
      <c r="H20" s="131">
        <v>4.5259782608695653</v>
      </c>
      <c r="I20" s="131">
        <v>70.66</v>
      </c>
      <c r="J20" s="131">
        <v>183.75</v>
      </c>
      <c r="K20" s="1">
        <v>464</v>
      </c>
    </row>
    <row r="21" spans="1:11" x14ac:dyDescent="0.3">
      <c r="A21" s="1">
        <v>2024</v>
      </c>
      <c r="B21" s="1">
        <v>2</v>
      </c>
      <c r="C21" s="135">
        <v>3</v>
      </c>
      <c r="D21" s="135">
        <v>74.599999999999994</v>
      </c>
      <c r="E21" s="135">
        <v>417</v>
      </c>
      <c r="F21" s="135">
        <v>310</v>
      </c>
      <c r="G21" s="135">
        <v>330</v>
      </c>
      <c r="H21" s="131">
        <v>4.2311904761904771</v>
      </c>
      <c r="I21" s="131">
        <v>81.8</v>
      </c>
      <c r="J21" s="131">
        <v>216.25</v>
      </c>
      <c r="K21" s="1">
        <v>442</v>
      </c>
    </row>
    <row r="22" spans="1:11" x14ac:dyDescent="0.3">
      <c r="A22" s="1">
        <v>2024</v>
      </c>
      <c r="B22" s="1">
        <v>3</v>
      </c>
      <c r="C22" s="135">
        <v>2.9</v>
      </c>
      <c r="D22" s="135">
        <v>77.3</v>
      </c>
      <c r="E22" s="135">
        <v>381</v>
      </c>
      <c r="F22" s="135">
        <v>300</v>
      </c>
      <c r="G22" s="135">
        <v>330</v>
      </c>
      <c r="H22" s="131">
        <v>4.3071428571428569</v>
      </c>
      <c r="I22" s="131">
        <v>83.55</v>
      </c>
      <c r="J22" s="131">
        <v>235</v>
      </c>
      <c r="K22" s="1">
        <v>456</v>
      </c>
    </row>
    <row r="23" spans="1:11" x14ac:dyDescent="0.3">
      <c r="A23" s="1">
        <v>2024</v>
      </c>
      <c r="B23" s="1">
        <v>4</v>
      </c>
      <c r="C23" s="135">
        <v>2.7</v>
      </c>
      <c r="D23" s="135">
        <v>75.2</v>
      </c>
      <c r="E23" s="135">
        <v>371</v>
      </c>
      <c r="F23" s="135">
        <v>300</v>
      </c>
      <c r="G23" s="135">
        <v>330</v>
      </c>
      <c r="H23" s="131">
        <v>4.3444318181818184</v>
      </c>
      <c r="I23" s="131">
        <v>90.77</v>
      </c>
      <c r="J23" s="131">
        <v>191.25</v>
      </c>
      <c r="K23" s="1">
        <v>551</v>
      </c>
    </row>
    <row r="24" spans="1:11" x14ac:dyDescent="0.3">
      <c r="A24" s="1">
        <v>2024</v>
      </c>
      <c r="B24" s="1">
        <v>5</v>
      </c>
      <c r="C24" s="135">
        <v>2.7</v>
      </c>
      <c r="D24" s="135">
        <v>70.900000000000006</v>
      </c>
      <c r="E24" s="135">
        <v>362</v>
      </c>
      <c r="F24" s="135">
        <v>260</v>
      </c>
      <c r="G24" s="135">
        <v>300</v>
      </c>
      <c r="H24" s="131">
        <v>4.5555434782608701</v>
      </c>
      <c r="I24" s="131">
        <v>81.64</v>
      </c>
      <c r="J24" s="131">
        <v>183.5</v>
      </c>
      <c r="K24" s="1">
        <v>514</v>
      </c>
    </row>
    <row r="25" spans="1:11" x14ac:dyDescent="0.3">
      <c r="A25" s="1">
        <v>2024</v>
      </c>
      <c r="B25" s="1">
        <v>6</v>
      </c>
      <c r="C25" s="135">
        <v>2.6</v>
      </c>
      <c r="D25" s="135">
        <v>80</v>
      </c>
      <c r="E25" s="135">
        <v>337</v>
      </c>
      <c r="F25" s="135">
        <v>230</v>
      </c>
      <c r="G25" s="135">
        <v>270</v>
      </c>
      <c r="H25" s="131">
        <v>4.3913750000000009</v>
      </c>
      <c r="I25" s="131">
        <v>75.66</v>
      </c>
      <c r="J25" s="131">
        <v>211.25</v>
      </c>
      <c r="K25" s="1">
        <v>630</v>
      </c>
    </row>
    <row r="26" spans="1:11" x14ac:dyDescent="0.3">
      <c r="A26" s="1">
        <v>2024</v>
      </c>
      <c r="B26" s="1">
        <v>7</v>
      </c>
      <c r="C26" s="135">
        <v>2.7</v>
      </c>
      <c r="D26" s="135">
        <v>75.7</v>
      </c>
      <c r="E26" s="135">
        <v>377</v>
      </c>
      <c r="F26" s="135">
        <v>258</v>
      </c>
      <c r="G26" s="135">
        <v>272</v>
      </c>
      <c r="H26" s="131">
        <v>3.9916304347826084</v>
      </c>
      <c r="I26" s="131">
        <v>71.89</v>
      </c>
      <c r="J26" s="131">
        <v>225</v>
      </c>
      <c r="K26" s="1">
        <v>664</v>
      </c>
    </row>
    <row r="27" spans="1:11" x14ac:dyDescent="0.3">
      <c r="A27" s="1">
        <v>2024</v>
      </c>
      <c r="B27" s="1">
        <v>8</v>
      </c>
      <c r="C27" s="135">
        <v>3</v>
      </c>
      <c r="D27" s="135">
        <v>75</v>
      </c>
      <c r="E27" s="135">
        <v>403</v>
      </c>
      <c r="F27" s="135">
        <v>250</v>
      </c>
      <c r="G27" s="135">
        <v>277</v>
      </c>
      <c r="H27" s="131">
        <v>3.7774999999999994</v>
      </c>
      <c r="I27" s="131">
        <v>76.28</v>
      </c>
      <c r="J27" s="131">
        <v>241.5</v>
      </c>
      <c r="K27" s="1">
        <v>698</v>
      </c>
    </row>
    <row r="28" spans="1:11" x14ac:dyDescent="0.3">
      <c r="A28" s="1">
        <v>2024</v>
      </c>
      <c r="B28" s="1">
        <v>9</v>
      </c>
      <c r="C28" s="135">
        <v>3.4</v>
      </c>
      <c r="D28" s="135">
        <v>72.5</v>
      </c>
      <c r="E28" s="135">
        <v>401</v>
      </c>
      <c r="F28" s="135">
        <v>229</v>
      </c>
      <c r="G28" s="135">
        <v>252</v>
      </c>
      <c r="H28" s="131">
        <v>4.0025000000000004</v>
      </c>
      <c r="I28" s="131">
        <v>79.22</v>
      </c>
      <c r="J28" s="131">
        <v>249.375</v>
      </c>
      <c r="K28" s="1">
        <v>534</v>
      </c>
    </row>
    <row r="29" spans="1:11" x14ac:dyDescent="0.3">
      <c r="A29" s="1">
        <v>2024</v>
      </c>
      <c r="B29" s="1">
        <v>10</v>
      </c>
      <c r="C29" s="135">
        <v>3.6</v>
      </c>
      <c r="D29" s="135">
        <v>68.599999999999994</v>
      </c>
      <c r="E29" s="135">
        <v>426</v>
      </c>
      <c r="F29" s="135">
        <v>259</v>
      </c>
      <c r="G29" s="135">
        <v>270</v>
      </c>
      <c r="H29" s="131">
        <v>3.9822826086956526</v>
      </c>
      <c r="I29" s="131">
        <v>83.96</v>
      </c>
      <c r="J29" s="131">
        <v>241.875</v>
      </c>
      <c r="K29" s="1">
        <v>469</v>
      </c>
    </row>
    <row r="30" spans="1:11" x14ac:dyDescent="0.3">
      <c r="A30" s="1">
        <v>2024</v>
      </c>
      <c r="B30" s="1">
        <v>11</v>
      </c>
      <c r="C30" s="135">
        <v>2.8</v>
      </c>
      <c r="D30" s="135">
        <v>69.2</v>
      </c>
      <c r="E30" s="135">
        <v>427</v>
      </c>
      <c r="F30" s="135">
        <v>265</v>
      </c>
      <c r="G30" s="135">
        <v>270</v>
      </c>
      <c r="H30" s="131">
        <v>4.2384523809523831</v>
      </c>
      <c r="I30" s="131">
        <v>83.49</v>
      </c>
      <c r="J30" s="131">
        <v>240.625</v>
      </c>
      <c r="K30" s="1">
        <v>416</v>
      </c>
    </row>
    <row r="31" spans="1:11" x14ac:dyDescent="0.3">
      <c r="A31" s="1">
        <v>2024</v>
      </c>
      <c r="B31" s="1">
        <v>12</v>
      </c>
      <c r="C31" s="135">
        <v>2.4</v>
      </c>
      <c r="D31" s="135">
        <v>70.400000000000006</v>
      </c>
      <c r="E31" s="135">
        <v>454</v>
      </c>
      <c r="F31" s="135">
        <v>244</v>
      </c>
      <c r="G31" s="135">
        <v>270</v>
      </c>
      <c r="H31" s="131">
        <v>4.4028409090909095</v>
      </c>
      <c r="I31" s="131">
        <v>77.97</v>
      </c>
      <c r="J31" s="131">
        <v>220.5</v>
      </c>
      <c r="K31" s="1">
        <v>479</v>
      </c>
    </row>
    <row r="32" spans="1:11" x14ac:dyDescent="0.3">
      <c r="A32" s="1">
        <v>2025</v>
      </c>
      <c r="B32" s="1">
        <v>1</v>
      </c>
      <c r="C32" s="135">
        <v>3.9</v>
      </c>
      <c r="D32" s="135">
        <v>71.599999999999994</v>
      </c>
      <c r="E32" s="135">
        <v>445</v>
      </c>
      <c r="F32" s="135">
        <v>276</v>
      </c>
      <c r="G32" s="135">
        <v>301</v>
      </c>
      <c r="H32" s="131">
        <v>4.7522826086956531</v>
      </c>
      <c r="I32" s="131">
        <v>81.540000000000006</v>
      </c>
      <c r="J32" s="131">
        <v>221.4</v>
      </c>
      <c r="K32" s="1">
        <v>518</v>
      </c>
    </row>
    <row r="33" spans="1:11" x14ac:dyDescent="0.3">
      <c r="A33" s="1">
        <v>2025</v>
      </c>
      <c r="B33" s="1">
        <v>2</v>
      </c>
      <c r="C33" s="135">
        <v>4.0999999999999996</v>
      </c>
      <c r="D33" s="135">
        <v>67</v>
      </c>
      <c r="E33" s="135">
        <v>471</v>
      </c>
      <c r="F33" s="135">
        <v>308</v>
      </c>
      <c r="G33" s="135">
        <v>310</v>
      </c>
      <c r="H33" s="131">
        <v>4.8959999999999999</v>
      </c>
      <c r="I33" s="131">
        <v>75.27</v>
      </c>
      <c r="J33" s="131">
        <v>240</v>
      </c>
      <c r="K33" s="1">
        <v>586</v>
      </c>
    </row>
    <row r="34" spans="1:11" x14ac:dyDescent="0.3">
      <c r="A34" s="1">
        <v>2025</v>
      </c>
      <c r="B34" s="1">
        <v>3</v>
      </c>
      <c r="C34" s="135">
        <v>3.8</v>
      </c>
      <c r="D34" s="135">
        <v>66.5</v>
      </c>
      <c r="E34" s="135">
        <v>445</v>
      </c>
      <c r="F34" s="135">
        <v>301</v>
      </c>
      <c r="G34" s="135">
        <v>311</v>
      </c>
      <c r="H34" s="131">
        <v>4.5342857142857129</v>
      </c>
      <c r="I34" s="131">
        <v>73.55</v>
      </c>
      <c r="J34" s="131">
        <v>236.25</v>
      </c>
      <c r="K34" s="1">
        <v>350</v>
      </c>
    </row>
    <row r="35" spans="1:11" x14ac:dyDescent="0.3">
      <c r="A35" s="1">
        <v>2025</v>
      </c>
      <c r="B35" s="1">
        <v>4</v>
      </c>
      <c r="C35" s="135">
        <v>3.1</v>
      </c>
      <c r="D35" s="135">
        <v>55</v>
      </c>
      <c r="E35" s="135">
        <v>275</v>
      </c>
      <c r="F35" s="135">
        <v>305</v>
      </c>
      <c r="G35" s="135">
        <v>315</v>
      </c>
      <c r="H35" s="131">
        <v>4.7379545454545449</v>
      </c>
      <c r="I35" s="131">
        <v>68.17</v>
      </c>
      <c r="J35" s="131">
        <v>224.375</v>
      </c>
      <c r="K35" s="1">
        <v>409</v>
      </c>
    </row>
    <row r="36" spans="1:11" x14ac:dyDescent="0.3">
      <c r="A36" s="1">
        <v>2025</v>
      </c>
      <c r="B36" s="1">
        <v>5</v>
      </c>
      <c r="C36" s="135">
        <v>3.7</v>
      </c>
      <c r="D36" s="135">
        <v>58.7</v>
      </c>
      <c r="E36" s="135">
        <v>279</v>
      </c>
      <c r="F36" s="135">
        <v>321</v>
      </c>
      <c r="G36" s="135">
        <v>325</v>
      </c>
      <c r="H36" s="131">
        <v>4.500454545454545</v>
      </c>
      <c r="I36" s="131">
        <v>70.62</v>
      </c>
      <c r="J36" s="131">
        <v>214.5</v>
      </c>
      <c r="K36" s="1">
        <v>393</v>
      </c>
    </row>
    <row r="37" spans="1:11" x14ac:dyDescent="0.3">
      <c r="A37" s="1">
        <v>2025</v>
      </c>
      <c r="B37" s="1">
        <v>6</v>
      </c>
      <c r="C37" s="135">
        <v>3.9</v>
      </c>
      <c r="D37" s="135">
        <v>65.5</v>
      </c>
      <c r="E37" s="135">
        <v>299</v>
      </c>
      <c r="F37" s="135">
        <v>308</v>
      </c>
      <c r="G37" s="135">
        <v>315</v>
      </c>
      <c r="H37" s="131">
        <v>4.3077380952380953</v>
      </c>
      <c r="I37" s="131">
        <v>68</v>
      </c>
      <c r="J37" s="131">
        <v>244.375</v>
      </c>
      <c r="K37" s="1">
        <v>393</v>
      </c>
    </row>
    <row r="38" spans="1:11" x14ac:dyDescent="0.3">
      <c r="A38" s="1">
        <v>2025</v>
      </c>
      <c r="B38" s="1">
        <v>7</v>
      </c>
      <c r="C38" s="135">
        <v>3.6</v>
      </c>
      <c r="D38" s="135">
        <v>65.599999999999994</v>
      </c>
      <c r="E38" s="135">
        <v>313</v>
      </c>
      <c r="F38" s="135">
        <v>308</v>
      </c>
      <c r="G38" s="135">
        <v>320</v>
      </c>
      <c r="H38" s="131">
        <v>4.0903260869565221</v>
      </c>
      <c r="I38" s="131">
        <v>71.72</v>
      </c>
      <c r="J38" s="131">
        <v>315.83333333333331</v>
      </c>
      <c r="K38" s="1">
        <v>402</v>
      </c>
    </row>
    <row r="39" spans="1:11" x14ac:dyDescent="0.3">
      <c r="A39" s="1">
        <v>2025</v>
      </c>
      <c r="B39" s="1">
        <v>8</v>
      </c>
      <c r="C39" s="135">
        <v>3</v>
      </c>
      <c r="D39" s="135">
        <v>65.099999999999994</v>
      </c>
      <c r="E39" s="135">
        <v>325</v>
      </c>
      <c r="F39" s="135">
        <v>370</v>
      </c>
      <c r="G39" s="135">
        <v>370</v>
      </c>
      <c r="H39" s="131">
        <v>3.8373809523809528</v>
      </c>
      <c r="I39" s="131">
        <v>72.53</v>
      </c>
      <c r="J39" s="131">
        <v>308.7</v>
      </c>
      <c r="K39" s="1">
        <v>404</v>
      </c>
    </row>
    <row r="40" spans="1:11" x14ac:dyDescent="0.3">
      <c r="A40" s="1">
        <v>2025</v>
      </c>
      <c r="B40" s="1">
        <v>9</v>
      </c>
      <c r="C40" s="135">
        <v>3.3</v>
      </c>
      <c r="D40" s="135">
        <v>65.8</v>
      </c>
      <c r="E40" s="135">
        <v>324</v>
      </c>
      <c r="F40" s="135">
        <v>373</v>
      </c>
      <c r="G40" s="135">
        <v>391</v>
      </c>
      <c r="H40" s="131">
        <v>4.1280681818181817</v>
      </c>
      <c r="I40" s="131">
        <v>70.13</v>
      </c>
      <c r="J40" s="131">
        <v>280.625</v>
      </c>
      <c r="K40" s="1">
        <v>417</v>
      </c>
    </row>
    <row r="41" spans="1:11" x14ac:dyDescent="0.3">
      <c r="A41" s="1">
        <v>2025</v>
      </c>
      <c r="B41" s="1">
        <v>10</v>
      </c>
      <c r="C41" s="135">
        <v>4.0999999999999996</v>
      </c>
      <c r="D41" s="135">
        <v>58.6</v>
      </c>
      <c r="E41" s="135">
        <v>350</v>
      </c>
      <c r="F41" s="135">
        <v>375</v>
      </c>
      <c r="G41" s="135">
        <v>411</v>
      </c>
      <c r="H41" s="131">
        <v>4.2165217391304353</v>
      </c>
      <c r="I41" s="131">
        <v>69.37</v>
      </c>
      <c r="J41" s="131">
        <v>245</v>
      </c>
      <c r="K41" s="1">
        <v>424</v>
      </c>
    </row>
    <row r="42" spans="1:11" x14ac:dyDescent="0.3">
      <c r="A42" s="1">
        <v>2025</v>
      </c>
      <c r="B42" s="1">
        <v>11</v>
      </c>
      <c r="C42" s="135">
        <v>4.7</v>
      </c>
      <c r="D42" s="135">
        <v>55.9</v>
      </c>
      <c r="E42" s="135">
        <v>365</v>
      </c>
      <c r="F42" s="135">
        <v>328</v>
      </c>
      <c r="G42" s="135">
        <v>360</v>
      </c>
      <c r="H42" s="131">
        <v>4.3126249999999997</v>
      </c>
      <c r="I42" s="131">
        <v>58.35</v>
      </c>
      <c r="J42" s="131">
        <v>247.5</v>
      </c>
      <c r="K42" s="1">
        <v>438</v>
      </c>
    </row>
    <row r="43" spans="1:11" x14ac:dyDescent="0.3">
      <c r="A43" s="1">
        <v>2025</v>
      </c>
      <c r="B43" s="1">
        <v>12</v>
      </c>
      <c r="C43" s="135">
        <v>4.0999999999999996</v>
      </c>
      <c r="D43" s="135">
        <v>51.3</v>
      </c>
      <c r="E43" s="135">
        <v>377</v>
      </c>
      <c r="F43" s="135">
        <v>328</v>
      </c>
      <c r="G43" s="135">
        <v>360</v>
      </c>
      <c r="H43" s="131">
        <v>4.4045652173913048</v>
      </c>
      <c r="I43" s="131">
        <v>60.79</v>
      </c>
      <c r="J43" s="131">
        <v>257.5</v>
      </c>
      <c r="K43" s="1">
        <v>437</v>
      </c>
    </row>
    <row r="44" spans="1:11" x14ac:dyDescent="0.3">
      <c r="A44" s="1">
        <v>2026</v>
      </c>
      <c r="B44" s="1">
        <v>1</v>
      </c>
      <c r="C44" s="135">
        <v>4.3</v>
      </c>
      <c r="D44" s="135">
        <v>55.2</v>
      </c>
      <c r="E44" s="135">
        <v>380</v>
      </c>
      <c r="F44" s="135">
        <v>346</v>
      </c>
      <c r="G44" s="135">
        <v>361</v>
      </c>
      <c r="H44" s="131">
        <v>4.3103409090909093</v>
      </c>
      <c r="I44" s="131">
        <v>64.790000000000006</v>
      </c>
      <c r="J44" s="131">
        <v>280.5</v>
      </c>
      <c r="K44" s="1">
        <v>439</v>
      </c>
    </row>
    <row r="45" spans="1:11" x14ac:dyDescent="0.3">
      <c r="A45" s="1">
        <v>2026</v>
      </c>
      <c r="B45" s="1">
        <v>2</v>
      </c>
      <c r="C45" s="135">
        <v>3</v>
      </c>
      <c r="D45" s="135">
        <v>58.6</v>
      </c>
      <c r="E45" s="135">
        <v>381</v>
      </c>
      <c r="F45" s="135">
        <v>348</v>
      </c>
      <c r="G45" s="135">
        <v>364</v>
      </c>
      <c r="H45" s="131">
        <v>4.2965</v>
      </c>
      <c r="I45" s="131">
        <v>70.31</v>
      </c>
      <c r="J45" s="131">
        <v>328.125</v>
      </c>
      <c r="K45" s="1">
        <v>439</v>
      </c>
    </row>
    <row r="46" spans="1:11" x14ac:dyDescent="0.3">
      <c r="A46" s="1">
        <v>2026</v>
      </c>
      <c r="B46" s="1">
        <v>3</v>
      </c>
      <c r="C46" s="135"/>
      <c r="D46" s="135"/>
      <c r="E46" s="135"/>
      <c r="F46" s="135"/>
      <c r="G46" s="135"/>
    </row>
    <row r="47" spans="1:11" x14ac:dyDescent="0.3">
      <c r="A47" s="1">
        <v>2026</v>
      </c>
      <c r="B47" s="1">
        <v>4</v>
      </c>
      <c r="C47" s="135"/>
      <c r="D47" s="135"/>
      <c r="E47" s="135"/>
    </row>
    <row r="48" spans="1:11" x14ac:dyDescent="0.3">
      <c r="A48" s="1">
        <v>2026</v>
      </c>
      <c r="B48" s="1">
        <v>5</v>
      </c>
      <c r="C48" s="135"/>
      <c r="D48" s="135"/>
      <c r="E48" s="135"/>
      <c r="F48" s="135"/>
      <c r="G48" s="135"/>
    </row>
    <row r="49" spans="1:21" x14ac:dyDescent="0.3">
      <c r="A49" s="1">
        <v>2026</v>
      </c>
      <c r="B49" s="1">
        <v>6</v>
      </c>
      <c r="C49" s="135"/>
      <c r="D49" s="135"/>
      <c r="E49" s="135"/>
      <c r="G49" s="135"/>
    </row>
    <row r="50" spans="1:21" x14ac:dyDescent="0.3">
      <c r="A50" s="1">
        <v>2026</v>
      </c>
      <c r="B50" s="1">
        <v>7</v>
      </c>
      <c r="C50" s="135"/>
      <c r="D50" s="135"/>
      <c r="E50" s="135"/>
      <c r="F50" s="135"/>
      <c r="G50" s="135"/>
    </row>
    <row r="53" spans="1:21" x14ac:dyDescent="0.3">
      <c r="C53"/>
    </row>
    <row r="54" spans="1:21" ht="14.25" customHeight="1" x14ac:dyDescent="0.3">
      <c r="A54" s="220" t="s">
        <v>106</v>
      </c>
      <c r="B54">
        <v>1</v>
      </c>
      <c r="C54" t="s">
        <v>107</v>
      </c>
      <c r="D54"/>
      <c r="E54"/>
      <c r="F54"/>
      <c r="G54"/>
      <c r="H54" t="s">
        <v>108</v>
      </c>
      <c r="I54"/>
      <c r="J54"/>
      <c r="M54" t="s">
        <v>109</v>
      </c>
      <c r="Q54" t="s">
        <v>110</v>
      </c>
      <c r="U54" t="s">
        <v>111</v>
      </c>
    </row>
    <row r="55" spans="1:21" x14ac:dyDescent="0.3">
      <c r="A55" s="220"/>
      <c r="B55">
        <v>2</v>
      </c>
      <c r="C55" t="s">
        <v>112</v>
      </c>
      <c r="D55"/>
      <c r="E55"/>
      <c r="F55"/>
      <c r="G55"/>
      <c r="H55" t="s">
        <v>113</v>
      </c>
      <c r="I55"/>
      <c r="J55"/>
      <c r="M55" t="s">
        <v>114</v>
      </c>
      <c r="Q55" t="s">
        <v>115</v>
      </c>
    </row>
    <row r="56" spans="1:21" x14ac:dyDescent="0.3">
      <c r="C56"/>
      <c r="D56"/>
      <c r="E56"/>
      <c r="F56"/>
      <c r="G56"/>
      <c r="H56"/>
      <c r="I56"/>
      <c r="J56"/>
    </row>
    <row r="57" spans="1:21" ht="12.75" customHeight="1" x14ac:dyDescent="0.3">
      <c r="C57" t="s">
        <v>116</v>
      </c>
      <c r="D57"/>
      <c r="E57"/>
      <c r="F57"/>
      <c r="G57"/>
      <c r="H57"/>
      <c r="I57"/>
      <c r="J57"/>
    </row>
    <row r="59" spans="1:21" x14ac:dyDescent="0.3">
      <c r="C59" t="s">
        <v>117</v>
      </c>
      <c r="K59" s="136"/>
      <c r="L59" s="136">
        <f>F45*0.4893+F44*0.15+170.94*0.019+586.16*0.2636</f>
        <v>379.936036</v>
      </c>
      <c r="M59" s="136" t="s">
        <v>84</v>
      </c>
      <c r="N59" s="136">
        <f>0.009*1*12.44+0.26*1*21.91</f>
        <v>5.8085599999999999</v>
      </c>
      <c r="O59" s="136">
        <f>G45*0.4893+G44*0.15+L62*0.009+L63*0.2636</f>
        <v>362.12969550000003</v>
      </c>
      <c r="P59" s="136"/>
    </row>
    <row r="60" spans="1:21" x14ac:dyDescent="0.3">
      <c r="C60" t="s">
        <v>118</v>
      </c>
      <c r="L60" s="136">
        <f>G45*0.531+G44*0.07+K62*0.04+K63*0.2813</f>
        <v>390.27987011000005</v>
      </c>
      <c r="M60" t="s">
        <v>87</v>
      </c>
      <c r="N60" s="136"/>
      <c r="O60" s="136">
        <f>F45*0.531+F44*0.07+L62*0.04+L63*0.2813</f>
        <v>353.80414900000005</v>
      </c>
    </row>
    <row r="62" spans="1:21" x14ac:dyDescent="0.3">
      <c r="C62" t="s">
        <v>119</v>
      </c>
      <c r="J62" s="131">
        <f>E45*0.4375+C45*12.44</f>
        <v>204.00749999999999</v>
      </c>
      <c r="K62" s="136">
        <f>E45*0.4375+E44*0.2588+C45*12.44+C44*(-30.56)</f>
        <v>170.9435</v>
      </c>
      <c r="L62" s="136">
        <f>E45*0.4375+C45*12.44</f>
        <v>204.00749999999999</v>
      </c>
    </row>
    <row r="63" spans="1:21" x14ac:dyDescent="0.3">
      <c r="C63" t="s">
        <v>120</v>
      </c>
      <c r="J63" s="131">
        <f>J45*1.28+C45*21.91</f>
        <v>485.73</v>
      </c>
      <c r="K63" s="136">
        <f>J45*1.28+J44*0.507+C45*21.91+C44*(-9.716)</f>
        <v>586.16470000000004</v>
      </c>
      <c r="L63" s="136">
        <f>J45*1.28+C45*21.91</f>
        <v>485.73</v>
      </c>
    </row>
  </sheetData>
  <mergeCells count="1">
    <mergeCell ref="A54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9D1F-66D1-4F6B-9560-345841CDFECD}">
  <dimension ref="A1:H21"/>
  <sheetViews>
    <sheetView workbookViewId="0">
      <selection activeCell="D22" sqref="D22"/>
    </sheetView>
  </sheetViews>
  <sheetFormatPr defaultRowHeight="14.4" x14ac:dyDescent="0.3"/>
  <cols>
    <col min="1" max="1" width="12.44140625" bestFit="1" customWidth="1"/>
    <col min="2" max="6" width="9.109375" style="184"/>
    <col min="7" max="7" width="14" style="184" bestFit="1" customWidth="1"/>
    <col min="8" max="8" width="9.109375" style="184"/>
  </cols>
  <sheetData>
    <row r="1" spans="1:8" x14ac:dyDescent="0.3">
      <c r="A1" s="175"/>
      <c r="B1" s="178" t="s">
        <v>4</v>
      </c>
      <c r="C1" s="178" t="s">
        <v>70</v>
      </c>
      <c r="D1" s="178" t="s">
        <v>71</v>
      </c>
      <c r="E1" s="178" t="s">
        <v>72</v>
      </c>
      <c r="F1" s="178" t="s">
        <v>73</v>
      </c>
      <c r="G1" s="178" t="s">
        <v>74</v>
      </c>
      <c r="H1" s="179" t="s">
        <v>75</v>
      </c>
    </row>
    <row r="2" spans="1:8" x14ac:dyDescent="0.3">
      <c r="A2" s="176" t="s">
        <v>4</v>
      </c>
      <c r="B2" s="180">
        <v>1</v>
      </c>
      <c r="C2" s="180"/>
      <c r="D2" s="180"/>
      <c r="E2" s="180"/>
      <c r="F2" s="180"/>
      <c r="G2" s="180"/>
      <c r="H2" s="181"/>
    </row>
    <row r="3" spans="1:8" x14ac:dyDescent="0.3">
      <c r="A3" s="176" t="s">
        <v>70</v>
      </c>
      <c r="B3" s="180">
        <v>0.97712740657483255</v>
      </c>
      <c r="C3" s="180">
        <v>1</v>
      </c>
      <c r="D3" s="180"/>
      <c r="E3" s="180"/>
      <c r="F3" s="180"/>
      <c r="G3" s="180"/>
      <c r="H3" s="181"/>
    </row>
    <row r="4" spans="1:8" x14ac:dyDescent="0.3">
      <c r="A4" s="176" t="s">
        <v>71</v>
      </c>
      <c r="B4" s="180">
        <v>0.79241242297026437</v>
      </c>
      <c r="C4" s="180">
        <v>0.80905706046787629</v>
      </c>
      <c r="D4" s="180">
        <v>1</v>
      </c>
      <c r="E4" s="180"/>
      <c r="F4" s="180"/>
      <c r="G4" s="180"/>
      <c r="H4" s="181"/>
    </row>
    <row r="5" spans="1:8" x14ac:dyDescent="0.3">
      <c r="A5" s="176" t="s">
        <v>72</v>
      </c>
      <c r="B5" s="180">
        <v>0.63832631941684659</v>
      </c>
      <c r="C5" s="180">
        <v>0.60690811401710476</v>
      </c>
      <c r="D5" s="180">
        <v>0.69339278253691417</v>
      </c>
      <c r="E5" s="180">
        <v>1</v>
      </c>
      <c r="F5" s="180"/>
      <c r="G5" s="180"/>
      <c r="H5" s="181"/>
    </row>
    <row r="6" spans="1:8" x14ac:dyDescent="0.3">
      <c r="A6" s="176" t="s">
        <v>73</v>
      </c>
      <c r="B6" s="180">
        <v>0.85857222916888432</v>
      </c>
      <c r="C6" s="180">
        <v>0.88126469156929765</v>
      </c>
      <c r="D6" s="180">
        <v>0.92645928043695025</v>
      </c>
      <c r="E6" s="180">
        <v>0.65842207922222551</v>
      </c>
      <c r="F6" s="180">
        <v>1</v>
      </c>
      <c r="G6" s="180"/>
      <c r="H6" s="181"/>
    </row>
    <row r="7" spans="1:8" x14ac:dyDescent="0.3">
      <c r="A7" s="176" t="s">
        <v>74</v>
      </c>
      <c r="B7" s="180">
        <v>0.12796281765634629</v>
      </c>
      <c r="C7" s="180">
        <v>0.18563709815080823</v>
      </c>
      <c r="D7" s="180">
        <v>0.1471865438226701</v>
      </c>
      <c r="E7" s="180">
        <v>0.30627027473664165</v>
      </c>
      <c r="F7" s="180">
        <v>0.23975487475555068</v>
      </c>
      <c r="G7" s="180">
        <v>1</v>
      </c>
      <c r="H7" s="181"/>
    </row>
    <row r="8" spans="1:8" ht="15" thickBot="1" x14ac:dyDescent="0.35">
      <c r="A8" s="177" t="s">
        <v>75</v>
      </c>
      <c r="B8" s="182">
        <v>0.28712907077602251</v>
      </c>
      <c r="C8" s="182">
        <v>0.19215432590033957</v>
      </c>
      <c r="D8" s="182">
        <v>0.22410774673174982</v>
      </c>
      <c r="E8" s="182">
        <v>0.13189875933703366</v>
      </c>
      <c r="F8" s="182">
        <v>0.28064984541236759</v>
      </c>
      <c r="G8" s="182">
        <v>-0.53800230825894235</v>
      </c>
      <c r="H8" s="183">
        <v>1</v>
      </c>
    </row>
    <row r="21" spans="8:8" x14ac:dyDescent="0.3">
      <c r="H21" s="185"/>
    </row>
  </sheetData>
  <conditionalFormatting sqref="B2:H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674F8-1EFA-418B-BB32-3B05C0DB0B1B}">
  <dimension ref="A1:J62"/>
  <sheetViews>
    <sheetView zoomScaleNormal="100" workbookViewId="0">
      <selection activeCell="L21" sqref="L21"/>
    </sheetView>
  </sheetViews>
  <sheetFormatPr defaultRowHeight="14.4" x14ac:dyDescent="0.3"/>
  <cols>
    <col min="1" max="1" width="11.44140625" bestFit="1" customWidth="1"/>
    <col min="7" max="7" width="12.44140625" bestFit="1" customWidth="1"/>
  </cols>
  <sheetData>
    <row r="1" spans="1:10" x14ac:dyDescent="0.3">
      <c r="A1" s="146"/>
      <c r="B1" s="147" t="s">
        <v>4</v>
      </c>
      <c r="C1" s="147" t="s">
        <v>70</v>
      </c>
      <c r="D1" s="147" t="s">
        <v>71</v>
      </c>
      <c r="E1" s="147" t="s">
        <v>72</v>
      </c>
      <c r="F1" s="147" t="s">
        <v>73</v>
      </c>
      <c r="G1" s="147" t="s">
        <v>74</v>
      </c>
      <c r="H1" s="148" t="s">
        <v>75</v>
      </c>
    </row>
    <row r="2" spans="1:10" x14ac:dyDescent="0.3">
      <c r="A2" s="149" t="s">
        <v>4</v>
      </c>
      <c r="B2" s="145">
        <v>1</v>
      </c>
      <c r="C2" s="145"/>
      <c r="D2" s="145"/>
      <c r="E2" s="145"/>
      <c r="F2" s="145"/>
      <c r="G2" s="145"/>
      <c r="H2" s="150"/>
    </row>
    <row r="3" spans="1:10" x14ac:dyDescent="0.3">
      <c r="A3" s="149" t="s">
        <v>70</v>
      </c>
      <c r="B3" s="145">
        <v>0.95248217118646306</v>
      </c>
      <c r="C3" s="145">
        <v>1</v>
      </c>
      <c r="D3" s="145"/>
      <c r="E3" s="145"/>
      <c r="F3" s="145"/>
      <c r="G3" s="145"/>
      <c r="H3" s="150"/>
    </row>
    <row r="4" spans="1:10" x14ac:dyDescent="0.3">
      <c r="A4" s="149" t="s">
        <v>71</v>
      </c>
      <c r="B4" s="145">
        <v>0.66100490023541758</v>
      </c>
      <c r="C4" s="145">
        <v>0.65240083151146688</v>
      </c>
      <c r="D4" s="145">
        <v>1</v>
      </c>
      <c r="E4" s="145"/>
      <c r="F4" s="145"/>
      <c r="G4" s="145"/>
      <c r="H4" s="150"/>
    </row>
    <row r="5" spans="1:10" x14ac:dyDescent="0.3">
      <c r="A5" s="149" t="s">
        <v>72</v>
      </c>
      <c r="B5" s="145">
        <v>0.70373846815275565</v>
      </c>
      <c r="C5" s="145">
        <v>0.68968401629654552</v>
      </c>
      <c r="D5" s="145">
        <v>0.75396553741954475</v>
      </c>
      <c r="E5" s="145">
        <v>1</v>
      </c>
      <c r="F5" s="145"/>
      <c r="G5" s="145"/>
      <c r="H5" s="150"/>
    </row>
    <row r="6" spans="1:10" x14ac:dyDescent="0.3">
      <c r="A6" s="149" t="s">
        <v>73</v>
      </c>
      <c r="B6" s="145">
        <v>0.5985531661675958</v>
      </c>
      <c r="C6" s="145">
        <v>0.63326031820523276</v>
      </c>
      <c r="D6" s="145">
        <v>0.88008223181165512</v>
      </c>
      <c r="E6" s="145">
        <v>0.7574348401001717</v>
      </c>
      <c r="F6" s="145">
        <v>1</v>
      </c>
      <c r="G6" s="145"/>
      <c r="H6" s="150"/>
    </row>
    <row r="7" spans="1:10" x14ac:dyDescent="0.3">
      <c r="A7" s="149" t="s">
        <v>74</v>
      </c>
      <c r="B7" s="145">
        <v>0.53886060387991042</v>
      </c>
      <c r="C7" s="145">
        <v>0.54704284210144904</v>
      </c>
      <c r="D7" s="145">
        <v>0.60829809113162514</v>
      </c>
      <c r="E7" s="145">
        <v>0.8012805376213239</v>
      </c>
      <c r="F7" s="145">
        <v>0.76059533180899219</v>
      </c>
      <c r="G7" s="145">
        <v>1</v>
      </c>
      <c r="H7" s="150"/>
    </row>
    <row r="8" spans="1:10" x14ac:dyDescent="0.3">
      <c r="A8" s="151" t="s">
        <v>75</v>
      </c>
      <c r="B8" s="152">
        <v>0.37849539266450483</v>
      </c>
      <c r="C8" s="152">
        <v>0.32636117413539584</v>
      </c>
      <c r="D8" s="152">
        <v>0.27200020068633296</v>
      </c>
      <c r="E8" s="152">
        <v>0.47270254978227111</v>
      </c>
      <c r="F8" s="152">
        <v>0.33772054184322398</v>
      </c>
      <c r="G8" s="152">
        <v>0.20940786620292809</v>
      </c>
      <c r="H8" s="153">
        <v>1</v>
      </c>
    </row>
    <row r="10" spans="1:10" ht="18" x14ac:dyDescent="0.3">
      <c r="J10" s="140" t="s">
        <v>121</v>
      </c>
    </row>
    <row r="11" spans="1:10" x14ac:dyDescent="0.3">
      <c r="J11" s="139"/>
    </row>
    <row r="12" spans="1:10" x14ac:dyDescent="0.3">
      <c r="J12" s="139" t="s">
        <v>122</v>
      </c>
    </row>
    <row r="13" spans="1:10" x14ac:dyDescent="0.3">
      <c r="J13" s="139" t="s">
        <v>123</v>
      </c>
    </row>
    <row r="14" spans="1:10" x14ac:dyDescent="0.3">
      <c r="J14" s="139" t="s">
        <v>124</v>
      </c>
    </row>
    <row r="15" spans="1:10" x14ac:dyDescent="0.3">
      <c r="J15" s="139" t="s">
        <v>125</v>
      </c>
    </row>
    <row r="16" spans="1:10" x14ac:dyDescent="0.3">
      <c r="J16" s="139" t="s">
        <v>126</v>
      </c>
    </row>
    <row r="18" spans="10:10" x14ac:dyDescent="0.3">
      <c r="J18" t="s">
        <v>127</v>
      </c>
    </row>
    <row r="19" spans="10:10" x14ac:dyDescent="0.3">
      <c r="J19" t="s">
        <v>128</v>
      </c>
    </row>
    <row r="23" spans="10:10" ht="18" x14ac:dyDescent="0.3">
      <c r="J23" s="140" t="s">
        <v>129</v>
      </c>
    </row>
    <row r="24" spans="10:10" x14ac:dyDescent="0.3">
      <c r="J24" s="141"/>
    </row>
    <row r="25" spans="10:10" x14ac:dyDescent="0.3">
      <c r="J25" s="141" t="s">
        <v>130</v>
      </c>
    </row>
    <row r="26" spans="10:10" x14ac:dyDescent="0.3">
      <c r="J26" s="141" t="s">
        <v>131</v>
      </c>
    </row>
    <row r="27" spans="10:10" x14ac:dyDescent="0.3">
      <c r="J27" s="141" t="s">
        <v>132</v>
      </c>
    </row>
    <row r="28" spans="10:10" x14ac:dyDescent="0.3">
      <c r="J28" s="141" t="s">
        <v>133</v>
      </c>
    </row>
    <row r="62" spans="1:1" x14ac:dyDescent="0.3">
      <c r="A62" s="139" t="s">
        <v>134</v>
      </c>
    </row>
  </sheetData>
  <conditionalFormatting sqref="B2:H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79B89A-7EE1-485D-8D03-FE5AA479F8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month-unelgee</vt:lpstr>
      <vt:lpstr>weekly-forecast</vt:lpstr>
      <vt:lpstr>monthly-forecast</vt:lpstr>
      <vt:lpstr>month-unelgee (2)</vt:lpstr>
      <vt:lpstr>data</vt:lpstr>
      <vt:lpstr>Sheet2</vt:lpstr>
      <vt:lpstr>granger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Ichinkhorloo.M</dc:creator>
  <cp:keywords/>
  <dc:description/>
  <cp:lastModifiedBy>Narantungalag.D</cp:lastModifiedBy>
  <cp:revision/>
  <dcterms:created xsi:type="dcterms:W3CDTF">2026-03-18T08:18:30Z</dcterms:created>
  <dcterms:modified xsi:type="dcterms:W3CDTF">2026-08-12T07:39:22Z</dcterms:modified>
  <cp:category/>
  <cp:contentStatus/>
</cp:coreProperties>
</file>